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&amp;L Summary" sheetId="1" state="visible" r:id="rId3"/>
    <sheet name="COGS Analysis" sheetId="2" state="visible" r:id="rId4"/>
    <sheet name="Key Metrics" sheetId="3" state="visible" r:id="rId5"/>
  </sheets>
  <definedNames>
    <definedName function="false" hidden="false" localSheetId="0" name="_xlnm.Print_Area" vbProcedure="false">'P&amp;L Summary'!$A$1:$F$67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<sst xmlns="http://schemas.openxmlformats.org/spreadsheetml/2006/main" count="92" uniqueCount="71">
  <si>
    <t xml:space="preserve">Unlimited Avenues</t>
  </si>
  <si>
    <t xml:space="preserve">Profit &amp; Loss Statement</t>
  </si>
  <si>
    <t xml:space="preserve">January – March 2026 (YTD)</t>
  </si>
  <si>
    <t xml:space="preserve">Jan-26</t>
  </si>
  <si>
    <t xml:space="preserve">Feb-26</t>
  </si>
  <si>
    <t xml:space="preserve">Mar-26</t>
  </si>
  <si>
    <t xml:space="preserve">Q1 Total</t>
  </si>
  <si>
    <t xml:space="preserve">($ in whole dollars)</t>
  </si>
  <si>
    <t xml:space="preserve">REVENUE</t>
  </si>
  <si>
    <t xml:space="preserve">Gross Sales</t>
  </si>
  <si>
    <t xml:space="preserve">Chargebacks</t>
  </si>
  <si>
    <t xml:space="preserve">Net Revenue</t>
  </si>
  <si>
    <t xml:space="preserve">COST OF GOODS SOLD</t>
  </si>
  <si>
    <t xml:space="preserve">Purchases – Import</t>
  </si>
  <si>
    <t xml:space="preserve">Purchase Discount</t>
  </si>
  <si>
    <t xml:space="preserve">Sample / Design / Development</t>
  </si>
  <si>
    <t xml:space="preserve">Custom Duty</t>
  </si>
  <si>
    <t xml:space="preserve">Freight In</t>
  </si>
  <si>
    <t xml:space="preserve">Ocean Freight &amp; Handling</t>
  </si>
  <si>
    <t xml:space="preserve">Warehouse Expenses</t>
  </si>
  <si>
    <t xml:space="preserve">Total COGS</t>
  </si>
  <si>
    <t xml:space="preserve">GROSS PROFIT</t>
  </si>
  <si>
    <t xml:space="preserve">Gross Margin %</t>
  </si>
  <si>
    <t xml:space="preserve">OPERATING EXPENSES</t>
  </si>
  <si>
    <t xml:space="preserve">Sales Commissions</t>
  </si>
  <si>
    <t xml:space="preserve">Donations</t>
  </si>
  <si>
    <t xml:space="preserve">Factor Commission &amp; Fees</t>
  </si>
  <si>
    <t xml:space="preserve">Factor Interest</t>
  </si>
  <si>
    <t xml:space="preserve">Finance Charges</t>
  </si>
  <si>
    <t xml:space="preserve">Health Insurance</t>
  </si>
  <si>
    <t xml:space="preserve">Inspection of Goods</t>
  </si>
  <si>
    <t xml:space="preserve">Factor Misc Charges</t>
  </si>
  <si>
    <t xml:space="preserve">Modelling Services</t>
  </si>
  <si>
    <t xml:space="preserve">Sales Promotion</t>
  </si>
  <si>
    <t xml:space="preserve">Showroom Expenses</t>
  </si>
  <si>
    <t xml:space="preserve">Statement Charges</t>
  </si>
  <si>
    <t xml:space="preserve">Stationery &amp; Printing</t>
  </si>
  <si>
    <t xml:space="preserve">Support &amp; Maintenance</t>
  </si>
  <si>
    <t xml:space="preserve">Auto &amp; Truck Expenses</t>
  </si>
  <si>
    <t xml:space="preserve">Courier Charges</t>
  </si>
  <si>
    <t xml:space="preserve">Bank Service Charges</t>
  </si>
  <si>
    <t xml:space="preserve">Computer &amp; Internet</t>
  </si>
  <si>
    <t xml:space="preserve">Freight Out</t>
  </si>
  <si>
    <t xml:space="preserve">Insurance Expense</t>
  </si>
  <si>
    <t xml:space="preserve">Janitorial Expense</t>
  </si>
  <si>
    <t xml:space="preserve">Payroll Expenses</t>
  </si>
  <si>
    <t xml:space="preserve">Rent Expense</t>
  </si>
  <si>
    <t xml:space="preserve">Total Operating Expenses</t>
  </si>
  <si>
    <t xml:space="preserve">OpEx % of Revenue</t>
  </si>
  <si>
    <t xml:space="preserve">NET OPERATING INCOME</t>
  </si>
  <si>
    <t xml:space="preserve">Operating Margin %</t>
  </si>
  <si>
    <t xml:space="preserve">OTHER INCOME / (EXPENSE)</t>
  </si>
  <si>
    <t xml:space="preserve">Refund on Credit Card</t>
  </si>
  <si>
    <t xml:space="preserve">Total Other Income</t>
  </si>
  <si>
    <t xml:space="preserve">NET INCOME</t>
  </si>
  <si>
    <t xml:space="preserve">Net Margin %</t>
  </si>
  <si>
    <t xml:space="preserve">Legend:</t>
  </si>
  <si>
    <t xml:space="preserve">  Blue text = hardcoded input (editable)</t>
  </si>
  <si>
    <t xml:space="preserve">  Black text = formula (auto-calculated)</t>
  </si>
  <si>
    <t xml:space="preserve">  Yellow highlight = input cells</t>
  </si>
  <si>
    <t xml:space="preserve">COGS Breakdown &amp; Analysis</t>
  </si>
  <si>
    <t xml:space="preserve">Q1 2026</t>
  </si>
  <si>
    <t xml:space="preserve">Sample / Design / Dev</t>
  </si>
  <si>
    <t xml:space="preserve">COGS % of Revenue</t>
  </si>
  <si>
    <t xml:space="preserve">Key Financial Metrics</t>
  </si>
  <si>
    <t xml:space="preserve">Q1 2026 Summary</t>
  </si>
  <si>
    <t xml:space="preserve">Metric</t>
  </si>
  <si>
    <t xml:space="preserve">Gross Profit</t>
  </si>
  <si>
    <t xml:space="preserve">Total OpEx</t>
  </si>
  <si>
    <t xml:space="preserve">Net Operating Income</t>
  </si>
  <si>
    <t xml:space="preserve">Net Income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</si>
</sst>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;\(#,##0.00\);\-"/>
    <numFmt numFmtId="166" formatCode="0.0%;\(0.0%\);\-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A1A2E"/>
      <name val="Arial"/>
      <family val="0"/>
      <charset val="1"/>
    </font>
    <font>
      <b val="true"/>
      <sz val="13"/>
      <color rgb="FF2D4A5A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i val="true"/>
      <sz val="10"/>
      <color rgb="FF888888"/>
      <name val="Arial"/>
      <family val="0"/>
      <charset val="1"/>
    </font>
    <font>
      <b val="true"/>
      <sz val="11"/>
      <color rgb="FF1A1A2E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2"/>
      <color rgb="FF1A1A2E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9"/>
      <color rgb="FF666666"/>
      <name val="Arial"/>
      <family val="0"/>
      <charset val="1"/>
    </font>
    <font>
      <sz val="9"/>
      <color rgb="FF0000FF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666666"/>
      <name val="Arial"/>
      <family val="0"/>
      <charset val="1"/>
    </font>
    <font>
      <sz val="11"/>
      <color rgb="FF008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2D4A5A"/>
        <bgColor rgb="FF333399"/>
      </patternFill>
    </fill>
    <fill>
      <patternFill patternType="solid">
        <fgColor rgb="FFF0F0F0"/>
        <bgColor rgb="FFE8E8E8"/>
      </patternFill>
    </fill>
    <fill>
      <patternFill patternType="solid">
        <fgColor rgb="FFFFFFF0"/>
        <bgColor rgb="FFFFFFFF"/>
      </patternFill>
    </fill>
    <fill>
      <patternFill patternType="solid">
        <fgColor rgb="FFE8E8E8"/>
        <bgColor rgb="FFF0F0F0"/>
      </patternFill>
    </fill>
    <fill>
      <patternFill patternType="solid">
        <fgColor rgb="FFD5D5D5"/>
        <bgColor rgb="FFE8E8E8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2D4A5A"/>
      </bottom>
      <diagonal/>
    </border>
    <border diagonalUp="false" diagonalDown="false">
      <left/>
      <right/>
      <top/>
      <bottom style="thin">
        <color rgb="FFC0C0C0"/>
      </bottom>
      <diagonal/>
    </border>
    <border diagonalUp="false" diagonalDown="false">
      <left/>
      <right/>
      <top style="medium">
        <color rgb="FF2D4A5A"/>
      </top>
      <bottom style="medium">
        <color rgb="FF2D4A5A"/>
      </bottom>
      <diagonal/>
    </border>
    <border diagonalUp="false" diagonalDown="false">
      <left/>
      <right/>
      <top/>
      <bottom style="double">
        <color rgb="FF2D4A5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5" fontId="11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2" shrinkToFit="false"/>
      <protection locked="true" hidden="false"/>
    </xf>
    <xf numFmtId="164" fontId="9" fillId="6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3" fillId="6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4" fillId="6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5" fontId="1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FFFF0"/>
      <rgbColor rgb="FFF0F0F0"/>
      <rgbColor rgb="FF660066"/>
      <rgbColor rgb="FFFF8080"/>
      <rgbColor rgb="FF0066CC"/>
      <rgbColor rgb="FFD5D5D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8E8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A47864"/>
      <rgbColor rgb="FF003366"/>
      <rgbColor rgb="FF4A7A8F"/>
      <rgbColor rgb="FF003300"/>
      <rgbColor rgb="FF1A1A2E"/>
      <rgbColor rgb="FF993300"/>
      <rgbColor rgb="FF993366"/>
      <rgbColor rgb="FF333399"/>
      <rgbColor rgb="FF2D4A5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D4A5A"/>
    <pageSetUpPr fitToPage="false"/>
  </sheetPr>
  <dimension ref="B2:F6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2"/>
    <col collapsed="false" customWidth="true" hidden="false" outlineLevel="0" max="6" min="3" style="0" width="16"/>
    <col collapsed="false" customWidth="true" hidden="false" outlineLevel="0" max="7" min="7" style="0" width="3"/>
    <col collapsed="false" customWidth="true" hidden="false" outlineLevel="0" max="8" min="8" style="0" width="14"/>
  </cols>
  <sheetData>
    <row r="2" customFormat="false" ht="19.7" hidden="false" customHeight="false" outlineLevel="0" collapsed="false">
      <c r="B2" s="1" t="s">
        <v>0</v>
      </c>
    </row>
    <row r="3" customFormat="false" ht="16.15" hidden="false" customHeight="false" outlineLevel="0" collapsed="false">
      <c r="B3" s="2" t="s">
        <v>1</v>
      </c>
    </row>
    <row r="4" customFormat="false" ht="15" hidden="false" customHeight="false" outlineLevel="0" collapsed="false">
      <c r="B4" s="3" t="s">
        <v>2</v>
      </c>
    </row>
    <row r="6" customFormat="false" ht="15" hidden="false" customHeight="false" outlineLevel="0" collapsed="false">
      <c r="B6" s="4"/>
      <c r="C6" s="4" t="s">
        <v>3</v>
      </c>
      <c r="D6" s="4" t="s">
        <v>4</v>
      </c>
      <c r="E6" s="4" t="s">
        <v>5</v>
      </c>
      <c r="F6" s="4" t="s">
        <v>6</v>
      </c>
    </row>
    <row r="7" customFormat="false" ht="15" hidden="false" customHeight="false" outlineLevel="0" collapsed="false">
      <c r="B7" s="5" t="s">
        <v>7</v>
      </c>
      <c r="C7" s="6"/>
      <c r="D7" s="6"/>
      <c r="E7" s="6"/>
      <c r="F7" s="6"/>
    </row>
    <row r="9" customFormat="false" ht="15" hidden="false" customHeight="false" outlineLevel="0" collapsed="false">
      <c r="B9" s="7" t="s">
        <v>8</v>
      </c>
      <c r="C9" s="8"/>
      <c r="D9" s="8"/>
      <c r="E9" s="8"/>
      <c r="F9" s="8"/>
    </row>
    <row r="10" customFormat="false" ht="15" hidden="false" customHeight="false" outlineLevel="0" collapsed="false">
      <c r="B10" s="9" t="s">
        <v>9</v>
      </c>
      <c r="C10" s="10" t="n">
        <v>2850138.7</v>
      </c>
      <c r="D10" s="10" t="n">
        <v>2996715.65</v>
      </c>
      <c r="E10" s="10" t="n">
        <v>3590403.95</v>
      </c>
      <c r="F10" s="11" t="n">
        <f aca="false">SUM(C10:E10)</f>
        <v>9437258.3</v>
      </c>
    </row>
    <row r="11" customFormat="false" ht="15" hidden="false" customHeight="false" outlineLevel="0" collapsed="false">
      <c r="B11" s="9" t="s">
        <v>10</v>
      </c>
      <c r="C11" s="10" t="n">
        <v>-3004.64</v>
      </c>
      <c r="D11" s="10" t="n">
        <v>-5735.18</v>
      </c>
      <c r="E11" s="10" t="n">
        <v>-3750.42</v>
      </c>
      <c r="F11" s="11" t="n">
        <f aca="false">SUM(C11:E11)</f>
        <v>-12490.24</v>
      </c>
    </row>
    <row r="12" customFormat="false" ht="15" hidden="false" customHeight="false" outlineLevel="0" collapsed="false">
      <c r="B12" s="12" t="s">
        <v>11</v>
      </c>
      <c r="C12" s="13" t="n">
        <f aca="false">C10+C11</f>
        <v>2847134.06</v>
      </c>
      <c r="D12" s="13" t="n">
        <f aca="false">D10+D11</f>
        <v>2990980.47</v>
      </c>
      <c r="E12" s="13" t="n">
        <f aca="false">E10+E11</f>
        <v>3586653.53</v>
      </c>
      <c r="F12" s="13" t="n">
        <f aca="false">F10+F11</f>
        <v>9424768.06</v>
      </c>
    </row>
    <row r="13" customFormat="false" ht="15" hidden="false" customHeight="false" outlineLevel="0" collapsed="false">
      <c r="B13" s="14"/>
    </row>
    <row r="14" customFormat="false" ht="15" hidden="false" customHeight="false" outlineLevel="0" collapsed="false">
      <c r="B14" s="7" t="s">
        <v>12</v>
      </c>
      <c r="C14" s="8"/>
      <c r="D14" s="8"/>
      <c r="E14" s="8"/>
      <c r="F14" s="8"/>
    </row>
    <row r="15" customFormat="false" ht="15" hidden="false" customHeight="false" outlineLevel="0" collapsed="false">
      <c r="B15" s="15" t="s">
        <v>13</v>
      </c>
      <c r="C15" s="10" t="n">
        <v>3697794.42</v>
      </c>
      <c r="D15" s="10" t="n">
        <v>4209512.62</v>
      </c>
      <c r="E15" s="10" t="n">
        <v>3105996.78</v>
      </c>
      <c r="F15" s="11" t="n">
        <f aca="false">SUM(C15:E15)</f>
        <v>11013303.82</v>
      </c>
    </row>
    <row r="16" customFormat="false" ht="15" hidden="false" customHeight="false" outlineLevel="0" collapsed="false">
      <c r="B16" s="15" t="s">
        <v>14</v>
      </c>
      <c r="C16" s="10" t="n">
        <v>-2197.49</v>
      </c>
      <c r="D16" s="10" t="n">
        <v>14275.52</v>
      </c>
      <c r="E16" s="10" t="n">
        <v>-1100.1</v>
      </c>
      <c r="F16" s="11" t="n">
        <f aca="false">SUM(C16:E16)</f>
        <v>10977.93</v>
      </c>
    </row>
    <row r="17" customFormat="false" ht="15" hidden="false" customHeight="false" outlineLevel="0" collapsed="false">
      <c r="B17" s="15" t="s">
        <v>15</v>
      </c>
      <c r="C17" s="10" t="n">
        <v>40942.48</v>
      </c>
      <c r="D17" s="10" t="n">
        <v>11302.85</v>
      </c>
      <c r="E17" s="10" t="n">
        <v>33832.47</v>
      </c>
      <c r="F17" s="11" t="n">
        <f aca="false">SUM(C17:E17)</f>
        <v>86077.8</v>
      </c>
    </row>
    <row r="18" customFormat="false" ht="15" hidden="false" customHeight="false" outlineLevel="0" collapsed="false">
      <c r="B18" s="15" t="s">
        <v>16</v>
      </c>
      <c r="C18" s="10" t="n">
        <v>0</v>
      </c>
      <c r="D18" s="10" t="n">
        <v>2658.83</v>
      </c>
      <c r="E18" s="10" t="n">
        <v>7621.49</v>
      </c>
      <c r="F18" s="11" t="n">
        <f aca="false">SUM(C18:E18)</f>
        <v>10280.32</v>
      </c>
    </row>
    <row r="19" customFormat="false" ht="15" hidden="false" customHeight="false" outlineLevel="0" collapsed="false">
      <c r="B19" s="15" t="s">
        <v>17</v>
      </c>
      <c r="C19" s="10" t="n">
        <v>0</v>
      </c>
      <c r="D19" s="10" t="n">
        <v>160</v>
      </c>
      <c r="E19" s="10" t="n">
        <v>0</v>
      </c>
      <c r="F19" s="11" t="n">
        <f aca="false">SUM(C19:E19)</f>
        <v>160</v>
      </c>
    </row>
    <row r="20" customFormat="false" ht="15" hidden="false" customHeight="false" outlineLevel="0" collapsed="false">
      <c r="B20" s="15" t="s">
        <v>18</v>
      </c>
      <c r="C20" s="10" t="n">
        <v>37619</v>
      </c>
      <c r="D20" s="10" t="n">
        <v>5817.52</v>
      </c>
      <c r="E20" s="10" t="n">
        <v>4681</v>
      </c>
      <c r="F20" s="11" t="n">
        <f aca="false">SUM(C20:E20)</f>
        <v>48117.52</v>
      </c>
    </row>
    <row r="21" customFormat="false" ht="15" hidden="false" customHeight="false" outlineLevel="0" collapsed="false">
      <c r="B21" s="15" t="s">
        <v>19</v>
      </c>
      <c r="C21" s="10" t="n">
        <v>43768.88</v>
      </c>
      <c r="D21" s="10" t="n">
        <v>43162.82</v>
      </c>
      <c r="E21" s="10" t="n">
        <v>7436.7</v>
      </c>
      <c r="F21" s="11" t="n">
        <f aca="false">SUM(C21:E21)</f>
        <v>94368.4</v>
      </c>
    </row>
    <row r="22" customFormat="false" ht="15" hidden="false" customHeight="false" outlineLevel="0" collapsed="false">
      <c r="B22" s="12" t="s">
        <v>20</v>
      </c>
      <c r="C22" s="13" t="n">
        <f aca="false">SUM(C15:C21)</f>
        <v>3817927.29</v>
      </c>
      <c r="D22" s="13" t="n">
        <f aca="false">SUM(D15:D21)</f>
        <v>4286890.16</v>
      </c>
      <c r="E22" s="13" t="n">
        <f aca="false">SUM(E15:E21)</f>
        <v>3158468.34</v>
      </c>
      <c r="F22" s="13" t="n">
        <f aca="false">SUM(F15:F21)</f>
        <v>11263285.79</v>
      </c>
    </row>
    <row r="24" customFormat="false" ht="15" hidden="false" customHeight="false" outlineLevel="0" collapsed="false">
      <c r="B24" s="16" t="s">
        <v>21</v>
      </c>
      <c r="C24" s="17" t="n">
        <f aca="false">C12-C22</f>
        <v>-970793.23</v>
      </c>
      <c r="D24" s="17" t="n">
        <f aca="false">D12-D22</f>
        <v>-1295909.69</v>
      </c>
      <c r="E24" s="17" t="n">
        <f aca="false">E12-E22</f>
        <v>428185.19</v>
      </c>
      <c r="F24" s="17" t="n">
        <f aca="false">F12-F22</f>
        <v>-1838517.73</v>
      </c>
    </row>
    <row r="25" customFormat="false" ht="15" hidden="false" customHeight="false" outlineLevel="0" collapsed="false">
      <c r="B25" s="18" t="s">
        <v>22</v>
      </c>
      <c r="C25" s="19" t="n">
        <f aca="false">IF(C12=0,0,C24/C12)</f>
        <v>-0.34097208264229</v>
      </c>
      <c r="D25" s="19" t="n">
        <f aca="false">IF(D12=0,0,D24/D12)</f>
        <v>-0.433272534875495</v>
      </c>
      <c r="E25" s="19" t="n">
        <f aca="false">IF(E12=0,0,E24/E12)</f>
        <v>0.119382925174822</v>
      </c>
      <c r="F25" s="19" t="n">
        <f aca="false">IF(F12=0,0,F24/F12)</f>
        <v>-0.195072994719405</v>
      </c>
    </row>
    <row r="27" customFormat="false" ht="15" hidden="false" customHeight="false" outlineLevel="0" collapsed="false">
      <c r="B27" s="7" t="s">
        <v>23</v>
      </c>
      <c r="C27" s="8"/>
      <c r="D27" s="8"/>
      <c r="E27" s="8"/>
      <c r="F27" s="8"/>
    </row>
    <row r="28" customFormat="false" ht="15" hidden="false" customHeight="false" outlineLevel="0" collapsed="false">
      <c r="B28" s="15" t="s">
        <v>24</v>
      </c>
      <c r="C28" s="10" t="n">
        <v>4120.35</v>
      </c>
      <c r="D28" s="10" t="n">
        <v>0</v>
      </c>
      <c r="E28" s="10" t="n">
        <v>0</v>
      </c>
      <c r="F28" s="11" t="n">
        <f aca="false">SUM(C28:E28)</f>
        <v>4120.35</v>
      </c>
    </row>
    <row r="29" customFormat="false" ht="15" hidden="false" customHeight="false" outlineLevel="0" collapsed="false">
      <c r="B29" s="15" t="s">
        <v>25</v>
      </c>
      <c r="C29" s="10" t="n">
        <v>151</v>
      </c>
      <c r="D29" s="10" t="n">
        <v>151</v>
      </c>
      <c r="E29" s="10" t="n">
        <v>151</v>
      </c>
      <c r="F29" s="11" t="n">
        <f aca="false">SUM(C29:E29)</f>
        <v>453</v>
      </c>
    </row>
    <row r="30" customFormat="false" ht="15" hidden="false" customHeight="false" outlineLevel="0" collapsed="false">
      <c r="B30" s="15" t="s">
        <v>26</v>
      </c>
      <c r="C30" s="10" t="n">
        <v>6931.22</v>
      </c>
      <c r="D30" s="10" t="n">
        <v>8915.1</v>
      </c>
      <c r="E30" s="10" t="n">
        <v>0</v>
      </c>
      <c r="F30" s="11" t="n">
        <f aca="false">SUM(C30:E30)</f>
        <v>15846.32</v>
      </c>
    </row>
    <row r="31" customFormat="false" ht="15" hidden="false" customHeight="false" outlineLevel="0" collapsed="false">
      <c r="B31" s="15" t="s">
        <v>27</v>
      </c>
      <c r="C31" s="10" t="n">
        <v>6474.03</v>
      </c>
      <c r="D31" s="10" t="n">
        <v>17569.1</v>
      </c>
      <c r="E31" s="10" t="n">
        <v>0</v>
      </c>
      <c r="F31" s="11" t="n">
        <f aca="false">SUM(C31:E31)</f>
        <v>24043.13</v>
      </c>
    </row>
    <row r="32" customFormat="false" ht="15" hidden="false" customHeight="false" outlineLevel="0" collapsed="false">
      <c r="B32" s="15" t="s">
        <v>28</v>
      </c>
      <c r="C32" s="10" t="n">
        <v>11005.9</v>
      </c>
      <c r="D32" s="10" t="n">
        <v>6673.24</v>
      </c>
      <c r="E32" s="10" t="n">
        <v>2615.3</v>
      </c>
      <c r="F32" s="11" t="n">
        <f aca="false">SUM(C32:E32)</f>
        <v>20294.44</v>
      </c>
    </row>
    <row r="33" customFormat="false" ht="15" hidden="false" customHeight="false" outlineLevel="0" collapsed="false">
      <c r="B33" s="15" t="s">
        <v>29</v>
      </c>
      <c r="C33" s="10" t="n">
        <v>5991.91</v>
      </c>
      <c r="D33" s="10" t="n">
        <v>4363.6</v>
      </c>
      <c r="E33" s="10" t="n">
        <v>2181.8</v>
      </c>
      <c r="F33" s="11" t="n">
        <f aca="false">SUM(C33:E33)</f>
        <v>12537.31</v>
      </c>
    </row>
    <row r="34" customFormat="false" ht="15" hidden="false" customHeight="false" outlineLevel="0" collapsed="false">
      <c r="B34" s="15" t="s">
        <v>30</v>
      </c>
      <c r="C34" s="10" t="n">
        <v>0</v>
      </c>
      <c r="D34" s="10" t="n">
        <v>22498.21</v>
      </c>
      <c r="E34" s="10" t="n">
        <v>0</v>
      </c>
      <c r="F34" s="11" t="n">
        <f aca="false">SUM(C34:E34)</f>
        <v>22498.21</v>
      </c>
    </row>
    <row r="35" customFormat="false" ht="15" hidden="false" customHeight="false" outlineLevel="0" collapsed="false">
      <c r="B35" s="15" t="s">
        <v>31</v>
      </c>
      <c r="C35" s="10" t="n">
        <v>350</v>
      </c>
      <c r="D35" s="10" t="n">
        <v>475</v>
      </c>
      <c r="E35" s="10" t="n">
        <v>0</v>
      </c>
      <c r="F35" s="11" t="n">
        <f aca="false">SUM(C35:E35)</f>
        <v>825</v>
      </c>
    </row>
    <row r="36" customFormat="false" ht="15" hidden="false" customHeight="false" outlineLevel="0" collapsed="false">
      <c r="B36" s="15" t="s">
        <v>32</v>
      </c>
      <c r="C36" s="10" t="n">
        <v>0</v>
      </c>
      <c r="D36" s="10" t="n">
        <v>330</v>
      </c>
      <c r="E36" s="10" t="n">
        <v>330</v>
      </c>
      <c r="F36" s="11" t="n">
        <f aca="false">SUM(C36:E36)</f>
        <v>660</v>
      </c>
    </row>
    <row r="37" customFormat="false" ht="15" hidden="false" customHeight="false" outlineLevel="0" collapsed="false">
      <c r="B37" s="15" t="s">
        <v>33</v>
      </c>
      <c r="C37" s="10" t="n">
        <v>223</v>
      </c>
      <c r="D37" s="10" t="n">
        <v>0</v>
      </c>
      <c r="E37" s="10" t="n">
        <v>0</v>
      </c>
      <c r="F37" s="11" t="n">
        <f aca="false">SUM(C37:E37)</f>
        <v>223</v>
      </c>
    </row>
    <row r="38" customFormat="false" ht="15" hidden="false" customHeight="false" outlineLevel="0" collapsed="false">
      <c r="B38" s="15" t="s">
        <v>34</v>
      </c>
      <c r="C38" s="10" t="n">
        <v>151.25</v>
      </c>
      <c r="D38" s="10" t="n">
        <v>374.36</v>
      </c>
      <c r="E38" s="10" t="n">
        <v>211.25</v>
      </c>
      <c r="F38" s="11" t="n">
        <f aca="false">SUM(C38:E38)</f>
        <v>736.86</v>
      </c>
    </row>
    <row r="39" customFormat="false" ht="15" hidden="false" customHeight="false" outlineLevel="0" collapsed="false">
      <c r="B39" s="15" t="s">
        <v>35</v>
      </c>
      <c r="C39" s="10" t="n">
        <v>95</v>
      </c>
      <c r="D39" s="10" t="n">
        <v>95</v>
      </c>
      <c r="E39" s="10" t="n">
        <v>95</v>
      </c>
      <c r="F39" s="11" t="n">
        <f aca="false">SUM(C39:E39)</f>
        <v>285</v>
      </c>
    </row>
    <row r="40" customFormat="false" ht="15" hidden="false" customHeight="false" outlineLevel="0" collapsed="false">
      <c r="B40" s="15" t="s">
        <v>36</v>
      </c>
      <c r="C40" s="10" t="n">
        <v>0</v>
      </c>
      <c r="D40" s="10" t="n">
        <v>0</v>
      </c>
      <c r="E40" s="10" t="n">
        <v>81.64</v>
      </c>
      <c r="F40" s="11" t="n">
        <f aca="false">SUM(C40:E40)</f>
        <v>81.64</v>
      </c>
    </row>
    <row r="41" customFormat="false" ht="15" hidden="false" customHeight="false" outlineLevel="0" collapsed="false">
      <c r="B41" s="15" t="s">
        <v>37</v>
      </c>
      <c r="C41" s="10" t="n">
        <v>300</v>
      </c>
      <c r="D41" s="10" t="n">
        <v>300</v>
      </c>
      <c r="E41" s="10" t="n">
        <v>300</v>
      </c>
      <c r="F41" s="11" t="n">
        <f aca="false">SUM(C41:E41)</f>
        <v>900</v>
      </c>
    </row>
    <row r="42" customFormat="false" ht="15" hidden="false" customHeight="false" outlineLevel="0" collapsed="false">
      <c r="B42" s="15" t="s">
        <v>38</v>
      </c>
      <c r="C42" s="10" t="n">
        <v>3200</v>
      </c>
      <c r="D42" s="10" t="n">
        <v>1696.78</v>
      </c>
      <c r="E42" s="10" t="n">
        <v>6176.18</v>
      </c>
      <c r="F42" s="11" t="n">
        <f aca="false">SUM(C42:E42)</f>
        <v>11072.96</v>
      </c>
    </row>
    <row r="43" customFormat="false" ht="15" hidden="false" customHeight="false" outlineLevel="0" collapsed="false">
      <c r="B43" s="15" t="s">
        <v>39</v>
      </c>
      <c r="C43" s="10" t="n">
        <v>2530</v>
      </c>
      <c r="D43" s="10" t="n">
        <v>657.06</v>
      </c>
      <c r="E43" s="10" t="n">
        <v>0</v>
      </c>
      <c r="F43" s="11" t="n">
        <f aca="false">SUM(C43:E43)</f>
        <v>3187.06</v>
      </c>
    </row>
    <row r="44" customFormat="false" ht="15" hidden="false" customHeight="false" outlineLevel="0" collapsed="false">
      <c r="B44" s="15" t="s">
        <v>40</v>
      </c>
      <c r="C44" s="10" t="n">
        <v>608.88</v>
      </c>
      <c r="D44" s="10" t="n">
        <v>600.17</v>
      </c>
      <c r="E44" s="10" t="n">
        <v>10</v>
      </c>
      <c r="F44" s="11" t="n">
        <f aca="false">SUM(C44:E44)</f>
        <v>1219.05</v>
      </c>
    </row>
    <row r="45" customFormat="false" ht="15" hidden="false" customHeight="false" outlineLevel="0" collapsed="false">
      <c r="B45" s="15" t="s">
        <v>41</v>
      </c>
      <c r="C45" s="10" t="n">
        <v>340</v>
      </c>
      <c r="D45" s="10" t="n">
        <v>340</v>
      </c>
      <c r="E45" s="10" t="n">
        <v>0</v>
      </c>
      <c r="F45" s="11" t="n">
        <f aca="false">SUM(C45:E45)</f>
        <v>680</v>
      </c>
    </row>
    <row r="46" customFormat="false" ht="15" hidden="false" customHeight="false" outlineLevel="0" collapsed="false">
      <c r="B46" s="15" t="s">
        <v>42</v>
      </c>
      <c r="C46" s="10" t="n">
        <v>1065.22</v>
      </c>
      <c r="D46" s="10" t="n">
        <v>2503.32</v>
      </c>
      <c r="E46" s="10" t="n">
        <v>2177.55</v>
      </c>
      <c r="F46" s="11" t="n">
        <f aca="false">SUM(C46:E46)</f>
        <v>5746.09</v>
      </c>
    </row>
    <row r="47" customFormat="false" ht="15" hidden="false" customHeight="false" outlineLevel="0" collapsed="false">
      <c r="B47" s="15" t="s">
        <v>43</v>
      </c>
      <c r="C47" s="10" t="n">
        <v>0</v>
      </c>
      <c r="D47" s="10" t="n">
        <v>25259</v>
      </c>
      <c r="E47" s="10" t="n">
        <v>0</v>
      </c>
      <c r="F47" s="11" t="n">
        <f aca="false">SUM(C47:E47)</f>
        <v>25259</v>
      </c>
    </row>
    <row r="48" customFormat="false" ht="15" hidden="false" customHeight="false" outlineLevel="0" collapsed="false">
      <c r="B48" s="15" t="s">
        <v>44</v>
      </c>
      <c r="C48" s="10" t="n">
        <v>266.02</v>
      </c>
      <c r="D48" s="10" t="n">
        <v>316.02</v>
      </c>
      <c r="E48" s="10" t="n">
        <v>266.02</v>
      </c>
      <c r="F48" s="11" t="n">
        <f aca="false">SUM(C48:E48)</f>
        <v>848.06</v>
      </c>
    </row>
    <row r="49" customFormat="false" ht="15" hidden="false" customHeight="false" outlineLevel="0" collapsed="false">
      <c r="B49" s="15" t="s">
        <v>45</v>
      </c>
      <c r="C49" s="10" t="n">
        <v>50.48</v>
      </c>
      <c r="D49" s="10" t="n">
        <v>43.5</v>
      </c>
      <c r="E49" s="10" t="n">
        <v>43.5</v>
      </c>
      <c r="F49" s="11" t="n">
        <f aca="false">SUM(C49:E49)</f>
        <v>137.48</v>
      </c>
    </row>
    <row r="50" customFormat="false" ht="15" hidden="false" customHeight="false" outlineLevel="0" collapsed="false">
      <c r="B50" s="15" t="s">
        <v>46</v>
      </c>
      <c r="C50" s="10" t="n">
        <v>0</v>
      </c>
      <c r="D50" s="10" t="n">
        <v>9515</v>
      </c>
      <c r="E50" s="10" t="n">
        <v>0</v>
      </c>
      <c r="F50" s="11" t="n">
        <f aca="false">SUM(C50:E50)</f>
        <v>9515</v>
      </c>
    </row>
    <row r="51" customFormat="false" ht="15" hidden="false" customHeight="false" outlineLevel="0" collapsed="false">
      <c r="B51" s="12" t="s">
        <v>47</v>
      </c>
      <c r="C51" s="13" t="n">
        <f aca="false">SUM(C28:C50)</f>
        <v>43854.26</v>
      </c>
      <c r="D51" s="13" t="n">
        <f aca="false">SUM(D28:D50)</f>
        <v>102675.46</v>
      </c>
      <c r="E51" s="13" t="n">
        <f aca="false">SUM(E28:E50)</f>
        <v>14639.24</v>
      </c>
      <c r="F51" s="13" t="n">
        <f aca="false">SUM(F28:F50)</f>
        <v>161168.96</v>
      </c>
    </row>
    <row r="52" customFormat="false" ht="15" hidden="false" customHeight="false" outlineLevel="0" collapsed="false">
      <c r="B52" s="18" t="s">
        <v>48</v>
      </c>
      <c r="C52" s="19" t="n">
        <f aca="false">IF(C12=0,0,C51/C12)</f>
        <v>0.0154029487462912</v>
      </c>
      <c r="D52" s="19" t="n">
        <f aca="false">IF(D12=0,0,D51/D12)</f>
        <v>0.0343283618966593</v>
      </c>
      <c r="E52" s="19" t="n">
        <f aca="false">IF(E12=0,0,E51/E12)</f>
        <v>0.00408158744008931</v>
      </c>
      <c r="F52" s="19" t="n">
        <f aca="false">IF(F12=0,0,F51/F12)</f>
        <v>0.0171005757355476</v>
      </c>
    </row>
    <row r="54" customFormat="false" ht="15" hidden="false" customHeight="false" outlineLevel="0" collapsed="false">
      <c r="B54" s="16" t="s">
        <v>49</v>
      </c>
      <c r="C54" s="17" t="n">
        <f aca="false">C24-C51</f>
        <v>-1014647.49</v>
      </c>
      <c r="D54" s="17" t="n">
        <f aca="false">D24-D51</f>
        <v>-1398585.15</v>
      </c>
      <c r="E54" s="17" t="n">
        <f aca="false">E24-E51</f>
        <v>413545.95</v>
      </c>
      <c r="F54" s="17" t="n">
        <f aca="false">F24-F51</f>
        <v>-1999686.69</v>
      </c>
    </row>
    <row r="55" customFormat="false" ht="15" hidden="false" customHeight="false" outlineLevel="0" collapsed="false">
      <c r="B55" s="18" t="s">
        <v>50</v>
      </c>
      <c r="C55" s="19" t="n">
        <f aca="false">IF(C12=0,0,C54/C12)</f>
        <v>-0.356375031388582</v>
      </c>
      <c r="D55" s="19" t="n">
        <f aca="false">IF(D12=0,0,D54/D12)</f>
        <v>-0.467600896772155</v>
      </c>
      <c r="E55" s="19" t="n">
        <f aca="false">IF(E12=0,0,E54/E12)</f>
        <v>0.115301337734732</v>
      </c>
      <c r="F55" s="19" t="n">
        <f aca="false">IF(F12=0,0,F54/F12)</f>
        <v>-0.212173570454953</v>
      </c>
    </row>
    <row r="57" customFormat="false" ht="15" hidden="false" customHeight="false" outlineLevel="0" collapsed="false">
      <c r="B57" s="7" t="s">
        <v>51</v>
      </c>
      <c r="C57" s="8"/>
      <c r="D57" s="8"/>
      <c r="E57" s="8"/>
      <c r="F57" s="8"/>
    </row>
    <row r="58" customFormat="false" ht="15" hidden="false" customHeight="false" outlineLevel="0" collapsed="false">
      <c r="B58" s="15" t="s">
        <v>52</v>
      </c>
      <c r="C58" s="10" t="n">
        <v>0</v>
      </c>
      <c r="D58" s="10" t="n">
        <v>558</v>
      </c>
      <c r="E58" s="10" t="n">
        <v>0</v>
      </c>
      <c r="F58" s="11" t="n">
        <f aca="false">SUM(C58:E58)</f>
        <v>558</v>
      </c>
    </row>
    <row r="59" customFormat="false" ht="15" hidden="false" customHeight="false" outlineLevel="0" collapsed="false">
      <c r="B59" s="12" t="s">
        <v>53</v>
      </c>
      <c r="C59" s="13" t="n">
        <f aca="false">C58</f>
        <v>0</v>
      </c>
      <c r="D59" s="13" t="n">
        <f aca="false">D58</f>
        <v>558</v>
      </c>
      <c r="E59" s="13" t="n">
        <f aca="false">E58</f>
        <v>0</v>
      </c>
      <c r="F59" s="13" t="n">
        <f aca="false">F58</f>
        <v>558</v>
      </c>
    </row>
    <row r="61" customFormat="false" ht="15" hidden="false" customHeight="false" outlineLevel="0" collapsed="false">
      <c r="B61" s="20" t="s">
        <v>54</v>
      </c>
      <c r="C61" s="21" t="n">
        <f aca="false">C54+C59</f>
        <v>-1014647.49</v>
      </c>
      <c r="D61" s="21" t="n">
        <f aca="false">D54+D59</f>
        <v>-1398027.15</v>
      </c>
      <c r="E61" s="21" t="n">
        <f aca="false">E54+E59</f>
        <v>413545.95</v>
      </c>
      <c r="F61" s="21" t="n">
        <f aca="false">F54+F59</f>
        <v>-1999128.69</v>
      </c>
    </row>
    <row r="62" customFormat="false" ht="15" hidden="false" customHeight="false" outlineLevel="0" collapsed="false">
      <c r="B62" s="18" t="s">
        <v>55</v>
      </c>
      <c r="C62" s="19" t="n">
        <f aca="false">IF(C12=0,0,C61/C12)</f>
        <v>-0.356375031388582</v>
      </c>
      <c r="D62" s="19" t="n">
        <f aca="false">IF(D12=0,0,D61/D12)</f>
        <v>-0.467414335874952</v>
      </c>
      <c r="E62" s="19" t="n">
        <f aca="false">IF(E12=0,0,E61/E12)</f>
        <v>0.115301337734732</v>
      </c>
      <c r="F62" s="19" t="n">
        <f aca="false">IF(F12=0,0,F61/F12)</f>
        <v>-0.212114364753927</v>
      </c>
    </row>
    <row r="64" customFormat="false" ht="15" hidden="false" customHeight="false" outlineLevel="0" collapsed="false">
      <c r="B64" s="22" t="s">
        <v>56</v>
      </c>
    </row>
    <row r="65" customFormat="false" ht="15" hidden="false" customHeight="false" outlineLevel="0" collapsed="false">
      <c r="B65" s="23" t="s">
        <v>57</v>
      </c>
    </row>
    <row r="66" customFormat="false" ht="15" hidden="false" customHeight="false" outlineLevel="0" collapsed="false">
      <c r="B66" s="24" t="s">
        <v>58</v>
      </c>
    </row>
    <row r="67" customFormat="false" ht="15" hidden="false" customHeight="false" outlineLevel="0" collapsed="false">
      <c r="B67" s="25" t="s">
        <v>59</v>
      </c>
      <c r="C67" s="2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A7A8F"/>
    <pageSetUpPr fitToPage="false"/>
  </sheetPr>
  <dimension ref="B2:F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6" min="3" style="0" width="16"/>
    <col collapsed="false" customWidth="true" hidden="false" outlineLevel="0" max="7" min="7" style="0" width="3"/>
    <col collapsed="false" customWidth="true" hidden="false" outlineLevel="0" max="8" min="8" style="0" width="14"/>
  </cols>
  <sheetData>
    <row r="2" customFormat="false" ht="19.7" hidden="false" customHeight="false" outlineLevel="0" collapsed="false">
      <c r="B2" s="1" t="s">
        <v>60</v>
      </c>
    </row>
    <row r="3" customFormat="false" ht="15" hidden="false" customHeight="false" outlineLevel="0" collapsed="false">
      <c r="B3" s="3" t="s">
        <v>61</v>
      </c>
    </row>
    <row r="5" customFormat="false" ht="15" hidden="false" customHeight="false" outlineLevel="0" collapsed="false">
      <c r="B5" s="27"/>
      <c r="C5" s="27" t="s">
        <v>3</v>
      </c>
      <c r="D5" s="27" t="s">
        <v>4</v>
      </c>
      <c r="E5" s="27" t="s">
        <v>5</v>
      </c>
      <c r="F5" s="27" t="s">
        <v>6</v>
      </c>
    </row>
    <row r="7" customFormat="false" ht="15" hidden="false" customHeight="false" outlineLevel="0" collapsed="false">
      <c r="B7" s="9" t="s">
        <v>13</v>
      </c>
      <c r="C7" s="10" t="n">
        <v>3697794.42</v>
      </c>
      <c r="D7" s="10" t="n">
        <v>4209512.62</v>
      </c>
      <c r="E7" s="10" t="n">
        <v>3105996.78</v>
      </c>
      <c r="F7" s="11" t="n">
        <f aca="false">SUM(C7:E7)</f>
        <v>11013303.82</v>
      </c>
    </row>
    <row r="8" customFormat="false" ht="15" hidden="false" customHeight="false" outlineLevel="0" collapsed="false">
      <c r="B8" s="9" t="s">
        <v>14</v>
      </c>
      <c r="C8" s="10" t="n">
        <v>-2197.49</v>
      </c>
      <c r="D8" s="10" t="n">
        <v>14275.52</v>
      </c>
      <c r="E8" s="10" t="n">
        <v>-1100.1</v>
      </c>
      <c r="F8" s="11" t="n">
        <f aca="false">SUM(C8:E8)</f>
        <v>10977.93</v>
      </c>
    </row>
    <row r="9" customFormat="false" ht="15" hidden="false" customHeight="false" outlineLevel="0" collapsed="false">
      <c r="B9" s="9" t="s">
        <v>62</v>
      </c>
      <c r="C9" s="10" t="n">
        <v>40942.48</v>
      </c>
      <c r="D9" s="10" t="n">
        <v>11302.85</v>
      </c>
      <c r="E9" s="10" t="n">
        <v>33832.47</v>
      </c>
      <c r="F9" s="11" t="n">
        <f aca="false">SUM(C9:E9)</f>
        <v>86077.8</v>
      </c>
    </row>
    <row r="10" customFormat="false" ht="15" hidden="false" customHeight="false" outlineLevel="0" collapsed="false">
      <c r="B10" s="9" t="s">
        <v>16</v>
      </c>
      <c r="C10" s="10" t="n">
        <v>0</v>
      </c>
      <c r="D10" s="10" t="n">
        <v>2658.83</v>
      </c>
      <c r="E10" s="10" t="n">
        <v>7621.49</v>
      </c>
      <c r="F10" s="11" t="n">
        <f aca="false">SUM(C10:E10)</f>
        <v>10280.32</v>
      </c>
    </row>
    <row r="11" customFormat="false" ht="15" hidden="false" customHeight="false" outlineLevel="0" collapsed="false">
      <c r="B11" s="9" t="s">
        <v>17</v>
      </c>
      <c r="C11" s="10" t="n">
        <v>0</v>
      </c>
      <c r="D11" s="10" t="n">
        <v>160</v>
      </c>
      <c r="E11" s="10" t="n">
        <v>0</v>
      </c>
      <c r="F11" s="11" t="n">
        <f aca="false">SUM(C11:E11)</f>
        <v>160</v>
      </c>
    </row>
    <row r="12" customFormat="false" ht="15" hidden="false" customHeight="false" outlineLevel="0" collapsed="false">
      <c r="B12" s="9" t="s">
        <v>18</v>
      </c>
      <c r="C12" s="10" t="n">
        <v>37619</v>
      </c>
      <c r="D12" s="10" t="n">
        <v>5817.52</v>
      </c>
      <c r="E12" s="10" t="n">
        <v>4681</v>
      </c>
      <c r="F12" s="11" t="n">
        <f aca="false">SUM(C12:E12)</f>
        <v>48117.52</v>
      </c>
    </row>
    <row r="13" customFormat="false" ht="15" hidden="false" customHeight="false" outlineLevel="0" collapsed="false">
      <c r="B13" s="9" t="s">
        <v>19</v>
      </c>
      <c r="C13" s="10" t="n">
        <v>43768.88</v>
      </c>
      <c r="D13" s="10" t="n">
        <v>43162.82</v>
      </c>
      <c r="E13" s="10" t="n">
        <v>7436.7</v>
      </c>
      <c r="F13" s="11" t="n">
        <f aca="false">SUM(C13:E13)</f>
        <v>94368.4</v>
      </c>
    </row>
    <row r="14" customFormat="false" ht="15" hidden="false" customHeight="false" outlineLevel="0" collapsed="false">
      <c r="B14" s="28" t="s">
        <v>20</v>
      </c>
      <c r="C14" s="13" t="n">
        <f aca="false">SUM(C7:C13)</f>
        <v>3817927.29</v>
      </c>
      <c r="D14" s="13" t="n">
        <f aca="false">SUM(D7:D13)</f>
        <v>4286890.16</v>
      </c>
      <c r="E14" s="13" t="n">
        <f aca="false">SUM(E7:E13)</f>
        <v>3158468.34</v>
      </c>
      <c r="F14" s="13" t="n">
        <f aca="false">SUM(F7:F13)</f>
        <v>11263285.79</v>
      </c>
    </row>
    <row r="16" customFormat="false" ht="15" hidden="false" customHeight="false" outlineLevel="0" collapsed="false">
      <c r="B16" s="18" t="s">
        <v>63</v>
      </c>
      <c r="C16" s="19" t="n">
        <f aca="false">IF('P&amp;L Summary'!C12=0,0,C14/'P&amp;L Summary'!C12)</f>
        <v>1.34097208264229</v>
      </c>
      <c r="D16" s="19" t="n">
        <f aca="false">IF('P&amp;L Summary'!D12=0,0,D14/'P&amp;L Summary'!D12)</f>
        <v>1.4332725348755</v>
      </c>
      <c r="E16" s="19" t="n">
        <f aca="false">IF('P&amp;L Summary'!E12=0,0,E14/'P&amp;L Summary'!E12)</f>
        <v>0.880617074825178</v>
      </c>
      <c r="F16" s="19" t="n">
        <f aca="false">IF('P&amp;L Summary'!F12=0,0,F14/'P&amp;L Summary'!F12)</f>
        <v>1.19507299471941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47864"/>
    <pageSetUpPr fitToPage="false"/>
  </sheetPr>
  <dimension ref="B2:F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6" min="3" style="0" width="16"/>
  </cols>
  <sheetData>
    <row r="2" customFormat="false" ht="19.7" hidden="false" customHeight="false" outlineLevel="0" collapsed="false">
      <c r="B2" s="1" t="s">
        <v>64</v>
      </c>
    </row>
    <row r="3" customFormat="false" ht="15" hidden="false" customHeight="false" outlineLevel="0" collapsed="false">
      <c r="B3" s="3" t="s">
        <v>65</v>
      </c>
    </row>
    <row r="5" customFormat="false" ht="15" hidden="false" customHeight="false" outlineLevel="0" collapsed="false">
      <c r="B5" s="27" t="s">
        <v>66</v>
      </c>
      <c r="C5" s="27" t="s">
        <v>3</v>
      </c>
      <c r="D5" s="27" t="s">
        <v>4</v>
      </c>
      <c r="E5" s="27" t="s">
        <v>5</v>
      </c>
      <c r="F5" s="27" t="s">
        <v>6</v>
      </c>
    </row>
    <row r="7" customFormat="false" ht="15" hidden="false" customHeight="false" outlineLevel="0" collapsed="false">
      <c r="B7" s="29" t="s">
        <v>11</v>
      </c>
      <c r="C7" s="30" t="n">
        <f aca="false">'P&amp;L Summary'!C12</f>
        <v>2847134.06</v>
      </c>
      <c r="D7" s="30" t="n">
        <f aca="false">'P&amp;L Summary'!D12</f>
        <v>2990980.47</v>
      </c>
      <c r="E7" s="30" t="n">
        <f aca="false">'P&amp;L Summary'!E12</f>
        <v>3586653.53</v>
      </c>
      <c r="F7" s="30" t="n">
        <f aca="false">'P&amp;L Summary'!F12</f>
        <v>9424768.06</v>
      </c>
    </row>
    <row r="8" customFormat="false" ht="15" hidden="false" customHeight="false" outlineLevel="0" collapsed="false">
      <c r="B8" s="29" t="s">
        <v>20</v>
      </c>
      <c r="C8" s="30" t="n">
        <f aca="false">'P&amp;L Summary'!C22</f>
        <v>3817927.29</v>
      </c>
      <c r="D8" s="30" t="n">
        <f aca="false">'P&amp;L Summary'!D22</f>
        <v>4286890.16</v>
      </c>
      <c r="E8" s="30" t="n">
        <f aca="false">'P&amp;L Summary'!E22</f>
        <v>3158468.34</v>
      </c>
      <c r="F8" s="30" t="n">
        <f aca="false">'P&amp;L Summary'!F22</f>
        <v>11263285.79</v>
      </c>
    </row>
    <row r="9" customFormat="false" ht="15" hidden="false" customHeight="false" outlineLevel="0" collapsed="false">
      <c r="B9" s="29" t="s">
        <v>67</v>
      </c>
      <c r="C9" s="30" t="n">
        <f aca="false">'P&amp;L Summary'!C24</f>
        <v>-970793.23</v>
      </c>
      <c r="D9" s="30" t="n">
        <f aca="false">'P&amp;L Summary'!D24</f>
        <v>-1295909.69</v>
      </c>
      <c r="E9" s="30" t="n">
        <f aca="false">'P&amp;L Summary'!E24</f>
        <v>428185.19</v>
      </c>
      <c r="F9" s="30" t="n">
        <f aca="false">'P&amp;L Summary'!F24</f>
        <v>-1838517.73</v>
      </c>
    </row>
    <row r="10" customFormat="false" ht="15" hidden="false" customHeight="false" outlineLevel="0" collapsed="false">
      <c r="B10" s="29" t="s">
        <v>22</v>
      </c>
      <c r="C10" s="31" t="n">
        <f aca="false">'P&amp;L Summary'!C25</f>
        <v>-0.34097208264229</v>
      </c>
      <c r="D10" s="31" t="n">
        <f aca="false">'P&amp;L Summary'!D25</f>
        <v>-0.433272534875495</v>
      </c>
      <c r="E10" s="31" t="n">
        <f aca="false">'P&amp;L Summary'!E25</f>
        <v>0.119382925174822</v>
      </c>
      <c r="F10" s="31" t="n">
        <f aca="false">'P&amp;L Summary'!F25</f>
        <v>-0.195072994719405</v>
      </c>
    </row>
    <row r="11" customFormat="false" ht="15" hidden="false" customHeight="false" outlineLevel="0" collapsed="false">
      <c r="B11" s="9"/>
    </row>
    <row r="12" customFormat="false" ht="15" hidden="false" customHeight="false" outlineLevel="0" collapsed="false">
      <c r="B12" s="29" t="s">
        <v>68</v>
      </c>
      <c r="C12" s="30" t="n">
        <f aca="false">'P&amp;L Summary'!C51</f>
        <v>43854.26</v>
      </c>
      <c r="D12" s="30" t="n">
        <f aca="false">'P&amp;L Summary'!D51</f>
        <v>102675.46</v>
      </c>
      <c r="E12" s="30" t="n">
        <f aca="false">'P&amp;L Summary'!E51</f>
        <v>14639.24</v>
      </c>
      <c r="F12" s="30" t="n">
        <f aca="false">'P&amp;L Summary'!F51</f>
        <v>161168.96</v>
      </c>
    </row>
    <row r="13" customFormat="false" ht="15" hidden="false" customHeight="false" outlineLevel="0" collapsed="false">
      <c r="B13" s="29" t="s">
        <v>48</v>
      </c>
      <c r="C13" s="31" t="n">
        <f aca="false">'P&amp;L Summary'!C52</f>
        <v>0.0154029487462912</v>
      </c>
      <c r="D13" s="31" t="n">
        <f aca="false">'P&amp;L Summary'!D52</f>
        <v>0.0343283618966593</v>
      </c>
      <c r="E13" s="31" t="n">
        <f aca="false">'P&amp;L Summary'!E52</f>
        <v>0.00408158744008931</v>
      </c>
      <c r="F13" s="31" t="n">
        <f aca="false">'P&amp;L Summary'!F52</f>
        <v>0.0171005757355476</v>
      </c>
    </row>
    <row r="14" customFormat="false" ht="15" hidden="false" customHeight="false" outlineLevel="0" collapsed="false">
      <c r="B14" s="9"/>
    </row>
    <row r="15" customFormat="false" ht="15" hidden="false" customHeight="false" outlineLevel="0" collapsed="false">
      <c r="B15" s="29" t="s">
        <v>69</v>
      </c>
      <c r="C15" s="30" t="n">
        <f aca="false">'P&amp;L Summary'!C54</f>
        <v>-1014647.49</v>
      </c>
      <c r="D15" s="30" t="n">
        <f aca="false">'P&amp;L Summary'!D54</f>
        <v>-1398585.15</v>
      </c>
      <c r="E15" s="30" t="n">
        <f aca="false">'P&amp;L Summary'!E54</f>
        <v>413545.95</v>
      </c>
      <c r="F15" s="30" t="n">
        <f aca="false">'P&amp;L Summary'!F54</f>
        <v>-1999686.69</v>
      </c>
    </row>
    <row r="16" customFormat="false" ht="15" hidden="false" customHeight="false" outlineLevel="0" collapsed="false">
      <c r="B16" s="29" t="s">
        <v>50</v>
      </c>
      <c r="C16" s="31" t="n">
        <f aca="false">'P&amp;L Summary'!C55</f>
        <v>-0.356375031388582</v>
      </c>
      <c r="D16" s="31" t="n">
        <f aca="false">'P&amp;L Summary'!D55</f>
        <v>-0.467600896772155</v>
      </c>
      <c r="E16" s="31" t="n">
        <f aca="false">'P&amp;L Summary'!E55</f>
        <v>0.115301337734732</v>
      </c>
      <c r="F16" s="31" t="n">
        <f aca="false">'P&amp;L Summary'!F55</f>
        <v>-0.212173570454953</v>
      </c>
    </row>
    <row r="17" customFormat="false" ht="15" hidden="false" customHeight="false" outlineLevel="0" collapsed="false">
      <c r="B17" s="9"/>
    </row>
    <row r="18" customFormat="false" ht="15" hidden="false" customHeight="false" outlineLevel="0" collapsed="false">
      <c r="B18" s="29" t="s">
        <v>70</v>
      </c>
      <c r="C18" s="30" t="n">
        <f aca="false">'P&amp;L Summary'!C61</f>
        <v>-1014647.49</v>
      </c>
      <c r="D18" s="30" t="n">
        <f aca="false">'P&amp;L Summary'!D61</f>
        <v>-1398027.15</v>
      </c>
      <c r="E18" s="30" t="n">
        <f aca="false">'P&amp;L Summary'!E61</f>
        <v>413545.95</v>
      </c>
      <c r="F18" s="30" t="n">
        <f aca="false">'P&amp;L Summary'!F61</f>
        <v>-1999128.69</v>
      </c>
    </row>
    <row r="19" customFormat="false" ht="15" hidden="false" customHeight="false" outlineLevel="0" collapsed="false">
      <c r="B19" s="29" t="s">
        <v>55</v>
      </c>
      <c r="C19" s="31" t="n">
        <f aca="false">'P&amp;L Summary'!C62</f>
        <v>-0.356375031388582</v>
      </c>
      <c r="D19" s="31" t="n">
        <f aca="false">'P&amp;L Summary'!D62</f>
        <v>-0.467414335874952</v>
      </c>
      <c r="E19" s="31" t="n">
        <f aca="false">'P&amp;L Summary'!E62</f>
        <v>0.115301337734732</v>
      </c>
      <c r="F19" s="31" t="n">
        <f aca="false">'P&amp;L Summary'!F62</f>
        <v>-0.212114364753927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2026-03-27T21:57:58Z</dcterms:created>
  <dc:creator>openpyxl</dc:creator>
  <dc:description/>
  <dc:language>en-US</dc:language>
  <cp:lastModifiedBy/>
  <dcterms:modified xsi:type="dcterms:W3CDTF">2026-03-27T21:57:58Z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