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Model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<sst xmlns="http://schemas.openxmlformats.org/spreadsheetml/2006/main" count="167" uniqueCount="66">
  <si>
    <t xml:space="preserve">Meta Platforms, Inc. (META)</t>
  </si>
  <si>
    <t xml:space="preserve">Historical Financial Model — Quarterly (FY2015–FY2025)</t>
  </si>
  <si>
    <t xml:space="preserve">All figures in $M unless noted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</si>
  <si>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</si>
  <si>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</si>
  <si>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</si>
  <si>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</si>
  <si>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</si>
  <si>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</si>
  <si>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</si>
  <si>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</si>
  <si>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</si>
  <si>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</si>
  <si>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</si>
  <si>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Line Item</t>
  </si>
  <si>
    <t xml:space="preserve">Units</t>
  </si>
  <si>
    <t xml:space="preserve">Q1</t>
  </si>
  <si>
    <t xml:space="preserve">Q2</t>
  </si>
  <si>
    <t xml:space="preserve">Q3</t>
  </si>
  <si>
    <t xml:space="preserve">Q4</t>
  </si>
  <si>
    <t xml:space="preserve">FY</t>
  </si>
  <si>
    <t xml:space="preserve">REVENUE BUILD</t>
  </si>
  <si>
    <t xml:space="preserve">Advertising Revenue</t>
  </si>
  <si>
    <t xml:space="preserve">$M</t>
  </si>
  <si>
    <t xml:space="preserve">Other Revenue (RL Labs / Payments)</t>
  </si>
  <si>
    <t xml:space="preserve">Total Revenue</t>
  </si>
  <si>
    <t xml:space="preserve">  Revenue Growth (YoY)</t>
  </si>
  <si>
    <t xml:space="preserve">%</t>
  </si>
  <si>
    <t xml:space="preserve">INCOME STATEMENT</t>
  </si>
  <si>
    <t xml:space="preserve">Revenue</t>
  </si>
  <si>
    <t xml:space="preserve">Cost of Revenue</t>
  </si>
  <si>
    <t xml:space="preserve">Gross Profit</t>
  </si>
  <si>
    <t xml:space="preserve">  Gross Margin</t>
  </si>
  <si>
    <t xml:space="preserve">Operating Expenses:</t>
  </si>
  <si>
    <t xml:space="preserve">  Research &amp; Development</t>
  </si>
  <si>
    <t xml:space="preserve">    % of Revenue</t>
  </si>
  <si>
    <t xml:space="preserve">  Sales, General &amp; Administrative</t>
  </si>
  <si>
    <t xml:space="preserve">Total Operating Expenses</t>
  </si>
  <si>
    <t xml:space="preserve">Operating Income</t>
  </si>
  <si>
    <t xml:space="preserve">  Operating Margin</t>
  </si>
  <si>
    <t xml:space="preserve">Other Income / (Expense)</t>
  </si>
  <si>
    <t xml:space="preserve">Income Before Taxes</t>
  </si>
  <si>
    <t xml:space="preserve">Income Tax Provision</t>
  </si>
  <si>
    <t xml:space="preserve">  Effective Tax Rate</t>
  </si>
  <si>
    <t xml:space="preserve">Net Income</t>
  </si>
  <si>
    <t xml:space="preserve">  Net Margin</t>
  </si>
  <si>
    <t xml:space="preserve">FREE CASH FLOW BUILD</t>
  </si>
  <si>
    <t xml:space="preserve">(+) Depreciation &amp; Amortization</t>
  </si>
  <si>
    <t xml:space="preserve">(+) Stock-Based Compensation</t>
  </si>
  <si>
    <t xml:space="preserve">(+/-) Working Capital &amp; Other</t>
  </si>
  <si>
    <t xml:space="preserve">Cash from Operations</t>
  </si>
  <si>
    <t xml:space="preserve">  CFO Margin</t>
  </si>
  <si>
    <t xml:space="preserve">(-) Capital Expenditures</t>
  </si>
  <si>
    <t xml:space="preserve">Free Cash Flow</t>
  </si>
  <si>
    <t xml:space="preserve">  FCF Margin</t>
  </si>
  <si>
    <t xml:space="preserve">META — Financial Summary</t>
  </si>
  <si>
    <t xml:space="preserve">Annual overview with key metrics and growth rates</t>
  </si>
  <si>
    <t xml:space="preserve">Fiscal Year</t>
  </si>
  <si>
    <t xml:space="preserve">  YoY Growth</t>
  </si>
  <si>
    <t xml:space="preserve">Capital Expenditures</t>
  </si>
  <si>
    <t xml:space="preserve">D&amp;A</t>
  </si>
  <si>
    <t xml:space="preserve">Stock-Based Comp</t>
  </si>
  <si>
    <t xml:space="preserve">R&amp;D Expense</t>
  </si>
  <si>
    <t xml:space="preserve">  R&amp;D % Revenue</t>
  </si>
  <si>
    <t xml:space="preserve">Model Upload: Use the Thomas agent page to upload your own financial model for automatic updates.</t>
  </si>
  <si>
    <t xml:space="preserve">Source: Meta Platforms SEC filings (10-K, 10-Q), Earnings Releases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</si>
</sst>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221"/>
      <name val="Arial"/>
      <family val="0"/>
      <charset val="1"/>
    </font>
    <font>
      <sz val="10"/>
      <color rgb="FF666666"/>
      <name val="Arial"/>
      <family val="0"/>
      <charset val="1"/>
    </font>
    <font>
      <i val="true"/>
      <sz val="8"/>
      <color rgb="FF999999"/>
      <name val="Arial"/>
      <family val="0"/>
      <charset val="1"/>
    </font>
    <font>
      <b val="true"/>
      <sz val="9"/>
      <color rgb="FF1B3221"/>
      <name val="Arial"/>
      <family val="0"/>
      <charset val="1"/>
    </font>
    <font>
      <b val="true"/>
      <sz val="8"/>
      <color rgb="FF666666"/>
      <name val="Arial"/>
      <family val="0"/>
      <charset val="1"/>
    </font>
    <font>
      <b val="true"/>
      <sz val="8"/>
      <color rgb="FF1B3221"/>
      <name val="Arial"/>
      <family val="0"/>
      <charset val="1"/>
    </font>
    <font>
      <b val="true"/>
      <sz val="10"/>
      <color rgb="FF1B3221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99999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CE6F1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DCE6F1"/>
        <bgColor rgb="FFD9E1F2"/>
      </patternFill>
    </fill>
    <fill>
      <patternFill patternType="solid">
        <fgColor rgb="FF2D4A5A"/>
        <bgColor rgb="FF1B322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B322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2D4A5A"/>
      <rgbColor rgb="FF1B32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4A5A"/>
    <pageSetUpPr fitToPage="false"/>
  </sheetPr>
  <dimension ref="A1:BE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8"/>
    <col collapsed="false" customWidth="true" hidden="false" outlineLevel="0" max="57" min="3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C4" s="4" t="s">
        <v>3</v>
      </c>
      <c r="D4" s="4"/>
      <c r="E4" s="4"/>
      <c r="F4" s="4"/>
      <c r="G4" s="4"/>
      <c r="H4" s="4" t="s">
        <v>4</v>
      </c>
      <c r="I4" s="4"/>
      <c r="J4" s="4"/>
      <c r="K4" s="4"/>
      <c r="L4" s="4"/>
      <c r="M4" s="4" t="s">
        <v>5</v>
      </c>
      <c r="N4" s="4"/>
      <c r="O4" s="4"/>
      <c r="P4" s="4"/>
      <c r="Q4" s="4"/>
      <c r="R4" s="4" t="s">
        <v>6</v>
      </c>
      <c r="S4" s="4"/>
      <c r="T4" s="4"/>
      <c r="U4" s="4"/>
      <c r="V4" s="4"/>
      <c r="W4" s="4" t="s">
        <v>7</v>
      </c>
      <c r="X4" s="4"/>
      <c r="Y4" s="4"/>
      <c r="Z4" s="4"/>
      <c r="AA4" s="4"/>
      <c r="AB4" s="4" t="s">
        <v>8</v>
      </c>
      <c r="AC4" s="4"/>
      <c r="AD4" s="4"/>
      <c r="AE4" s="4"/>
      <c r="AF4" s="4"/>
      <c r="AG4" s="4" t="s">
        <v>9</v>
      </c>
      <c r="AH4" s="4"/>
      <c r="AI4" s="4"/>
      <c r="AJ4" s="4"/>
      <c r="AK4" s="4"/>
      <c r="AL4" s="4" t="s">
        <v>10</v>
      </c>
      <c r="AM4" s="4"/>
      <c r="AN4" s="4"/>
      <c r="AO4" s="4"/>
      <c r="AP4" s="4"/>
      <c r="AQ4" s="4" t="s">
        <v>11</v>
      </c>
      <c r="AR4" s="4"/>
      <c r="AS4" s="4"/>
      <c r="AT4" s="4"/>
      <c r="AU4" s="4"/>
      <c r="AV4" s="4" t="s">
        <v>12</v>
      </c>
      <c r="AW4" s="4"/>
      <c r="AX4" s="4"/>
      <c r="AY4" s="4"/>
      <c r="AZ4" s="4"/>
      <c r="BA4" s="4" t="s">
        <v>13</v>
      </c>
      <c r="BB4" s="4"/>
      <c r="BC4" s="4"/>
      <c r="BD4" s="4"/>
      <c r="BE4" s="4"/>
    </row>
    <row r="5" customFormat="false" ht="15" hidden="false" customHeight="false" outlineLevel="0" collapsed="false">
      <c r="A5" s="5" t="s">
        <v>14</v>
      </c>
      <c r="B5" s="5" t="s">
        <v>15</v>
      </c>
      <c r="C5" s="6" t="s">
        <v>16</v>
      </c>
      <c r="D5" s="6" t="s">
        <v>17</v>
      </c>
      <c r="E5" s="6" t="s">
        <v>18</v>
      </c>
      <c r="F5" s="6" t="s">
        <v>19</v>
      </c>
      <c r="G5" s="7" t="s">
        <v>20</v>
      </c>
      <c r="H5" s="6" t="s">
        <v>16</v>
      </c>
      <c r="I5" s="6" t="s">
        <v>17</v>
      </c>
      <c r="J5" s="6" t="s">
        <v>18</v>
      </c>
      <c r="K5" s="6" t="s">
        <v>19</v>
      </c>
      <c r="L5" s="7" t="s">
        <v>20</v>
      </c>
      <c r="M5" s="6" t="s">
        <v>16</v>
      </c>
      <c r="N5" s="6" t="s">
        <v>17</v>
      </c>
      <c r="O5" s="6" t="s">
        <v>18</v>
      </c>
      <c r="P5" s="6" t="s">
        <v>19</v>
      </c>
      <c r="Q5" s="7" t="s">
        <v>20</v>
      </c>
      <c r="R5" s="6" t="s">
        <v>16</v>
      </c>
      <c r="S5" s="6" t="s">
        <v>17</v>
      </c>
      <c r="T5" s="6" t="s">
        <v>18</v>
      </c>
      <c r="U5" s="6" t="s">
        <v>19</v>
      </c>
      <c r="V5" s="7" t="s">
        <v>20</v>
      </c>
      <c r="W5" s="6" t="s">
        <v>16</v>
      </c>
      <c r="X5" s="6" t="s">
        <v>17</v>
      </c>
      <c r="Y5" s="6" t="s">
        <v>18</v>
      </c>
      <c r="Z5" s="6" t="s">
        <v>19</v>
      </c>
      <c r="AA5" s="7" t="s">
        <v>20</v>
      </c>
      <c r="AB5" s="6" t="s">
        <v>16</v>
      </c>
      <c r="AC5" s="6" t="s">
        <v>17</v>
      </c>
      <c r="AD5" s="6" t="s">
        <v>18</v>
      </c>
      <c r="AE5" s="6" t="s">
        <v>19</v>
      </c>
      <c r="AF5" s="7" t="s">
        <v>20</v>
      </c>
      <c r="AG5" s="6" t="s">
        <v>16</v>
      </c>
      <c r="AH5" s="6" t="s">
        <v>17</v>
      </c>
      <c r="AI5" s="6" t="s">
        <v>18</v>
      </c>
      <c r="AJ5" s="6" t="s">
        <v>19</v>
      </c>
      <c r="AK5" s="7" t="s">
        <v>20</v>
      </c>
      <c r="AL5" s="6" t="s">
        <v>16</v>
      </c>
      <c r="AM5" s="6" t="s">
        <v>17</v>
      </c>
      <c r="AN5" s="6" t="s">
        <v>18</v>
      </c>
      <c r="AO5" s="6" t="s">
        <v>19</v>
      </c>
      <c r="AP5" s="7" t="s">
        <v>20</v>
      </c>
      <c r="AQ5" s="6" t="s">
        <v>16</v>
      </c>
      <c r="AR5" s="6" t="s">
        <v>17</v>
      </c>
      <c r="AS5" s="6" t="s">
        <v>18</v>
      </c>
      <c r="AT5" s="6" t="s">
        <v>19</v>
      </c>
      <c r="AU5" s="7" t="s">
        <v>20</v>
      </c>
      <c r="AV5" s="6" t="s">
        <v>16</v>
      </c>
      <c r="AW5" s="6" t="s">
        <v>17</v>
      </c>
      <c r="AX5" s="6" t="s">
        <v>18</v>
      </c>
      <c r="AY5" s="6" t="s">
        <v>19</v>
      </c>
      <c r="AZ5" s="7" t="s">
        <v>20</v>
      </c>
      <c r="BA5" s="6" t="s">
        <v>16</v>
      </c>
      <c r="BB5" s="6" t="s">
        <v>17</v>
      </c>
      <c r="BC5" s="6" t="s">
        <v>18</v>
      </c>
      <c r="BD5" s="6" t="s">
        <v>19</v>
      </c>
      <c r="BE5" s="7" t="s">
        <v>20</v>
      </c>
    </row>
    <row r="7" customFormat="false" ht="15" hidden="false" customHeight="false" outlineLevel="0" collapsed="false">
      <c r="A7" s="8" t="s">
        <v>21</v>
      </c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</row>
    <row r="8" customFormat="false" ht="15" hidden="false" customHeight="false" outlineLevel="0" collapsed="false">
      <c r="A8" s="10" t="s">
        <v>22</v>
      </c>
      <c r="B8" s="11" t="s">
        <v>23</v>
      </c>
      <c r="C8" s="12" t="n">
        <v>3454</v>
      </c>
      <c r="D8" s="12" t="n">
        <v>3941</v>
      </c>
      <c r="E8" s="12" t="n">
        <v>4388</v>
      </c>
      <c r="F8" s="12" t="n">
        <v>5695</v>
      </c>
      <c r="G8" s="13" t="n">
        <f aca="false">C8+D8+E8+F8</f>
        <v>17478</v>
      </c>
      <c r="H8" s="12" t="n">
        <v>5247</v>
      </c>
      <c r="I8" s="12" t="n">
        <v>6275</v>
      </c>
      <c r="J8" s="12" t="n">
        <v>6836</v>
      </c>
      <c r="K8" s="12" t="n">
        <v>8589</v>
      </c>
      <c r="L8" s="13" t="n">
        <f aca="false">H8+I8+J8+K8</f>
        <v>26947</v>
      </c>
      <c r="M8" s="12" t="n">
        <v>7831</v>
      </c>
      <c r="N8" s="12" t="n">
        <v>9088</v>
      </c>
      <c r="O8" s="12" t="n">
        <v>10070</v>
      </c>
      <c r="P8" s="12" t="n">
        <v>12648</v>
      </c>
      <c r="Q8" s="13" t="n">
        <f aca="false">M8+N8+O8+P8</f>
        <v>39637</v>
      </c>
      <c r="R8" s="12" t="n">
        <v>11607</v>
      </c>
      <c r="S8" s="12" t="n">
        <v>12834</v>
      </c>
      <c r="T8" s="12" t="n">
        <v>13315</v>
      </c>
      <c r="U8" s="12" t="n">
        <v>16407</v>
      </c>
      <c r="V8" s="13" t="n">
        <f aca="false">R8+S8+T8+U8</f>
        <v>54163</v>
      </c>
      <c r="W8" s="12" t="n">
        <v>14625</v>
      </c>
      <c r="X8" s="12" t="n">
        <v>16379</v>
      </c>
      <c r="Y8" s="12" t="n">
        <v>17122</v>
      </c>
      <c r="Z8" s="12" t="n">
        <v>20450</v>
      </c>
      <c r="AA8" s="13" t="n">
        <f aca="false">W8+X8+Y8+Z8</f>
        <v>68576</v>
      </c>
      <c r="AB8" s="12" t="n">
        <v>17294</v>
      </c>
      <c r="AC8" s="12" t="n">
        <v>18220</v>
      </c>
      <c r="AD8" s="12" t="n">
        <v>20933</v>
      </c>
      <c r="AE8" s="12" t="n">
        <v>27370</v>
      </c>
      <c r="AF8" s="13" t="n">
        <f aca="false">AB8+AC8+AD8+AE8</f>
        <v>83817</v>
      </c>
      <c r="AG8" s="12" t="n">
        <v>25517</v>
      </c>
      <c r="AH8" s="12" t="n">
        <v>28350</v>
      </c>
      <c r="AI8" s="12" t="n">
        <v>28285</v>
      </c>
      <c r="AJ8" s="12" t="n">
        <v>32829</v>
      </c>
      <c r="AK8" s="13" t="n">
        <f aca="false">AG8+AH8+AI8+AJ8</f>
        <v>114981</v>
      </c>
      <c r="AL8" s="12" t="n">
        <v>27071</v>
      </c>
      <c r="AM8" s="12" t="n">
        <v>27957</v>
      </c>
      <c r="AN8" s="12" t="n">
        <v>26883</v>
      </c>
      <c r="AO8" s="12" t="n">
        <v>31200</v>
      </c>
      <c r="AP8" s="13" t="n">
        <f aca="false">AL8+AM8+AN8+AO8</f>
        <v>113111</v>
      </c>
      <c r="AQ8" s="12" t="n">
        <v>27499</v>
      </c>
      <c r="AR8" s="12" t="n">
        <v>30719</v>
      </c>
      <c r="AS8" s="12" t="n">
        <v>32780</v>
      </c>
      <c r="AT8" s="12" t="n">
        <v>38507</v>
      </c>
      <c r="AU8" s="13" t="n">
        <f aca="false">AQ8+AR8+AS8+AT8</f>
        <v>129505</v>
      </c>
      <c r="AV8" s="12" t="n">
        <v>34815</v>
      </c>
      <c r="AW8" s="12" t="n">
        <v>37313</v>
      </c>
      <c r="AX8" s="12" t="n">
        <v>38762</v>
      </c>
      <c r="AY8" s="12" t="n">
        <v>46208</v>
      </c>
      <c r="AZ8" s="13" t="n">
        <f aca="false">AV8+AW8+AX8+AY8</f>
        <v>157098</v>
      </c>
      <c r="BA8" s="12" t="n">
        <v>40410</v>
      </c>
      <c r="BB8" s="12" t="n">
        <v>45379</v>
      </c>
      <c r="BC8" s="12" t="n">
        <v>49660</v>
      </c>
      <c r="BD8" s="12" t="n">
        <v>57199</v>
      </c>
      <c r="BE8" s="13" t="n">
        <f aca="false">BA8+BB8+BC8+BD8</f>
        <v>192648</v>
      </c>
    </row>
    <row r="9" customFormat="false" ht="15" hidden="false" customHeight="false" outlineLevel="0" collapsed="false">
      <c r="A9" s="10" t="s">
        <v>24</v>
      </c>
      <c r="B9" s="11" t="s">
        <v>23</v>
      </c>
      <c r="C9" s="12" t="n">
        <v>89</v>
      </c>
      <c r="D9" s="12" t="n">
        <v>101</v>
      </c>
      <c r="E9" s="12" t="n">
        <v>113</v>
      </c>
      <c r="F9" s="12" t="n">
        <v>146</v>
      </c>
      <c r="G9" s="13" t="n">
        <f aca="false">C9+D9+E9+F9</f>
        <v>449</v>
      </c>
      <c r="H9" s="12" t="n">
        <v>135</v>
      </c>
      <c r="I9" s="12" t="n">
        <v>161</v>
      </c>
      <c r="J9" s="12" t="n">
        <v>175</v>
      </c>
      <c r="K9" s="12" t="n">
        <v>220</v>
      </c>
      <c r="L9" s="13" t="n">
        <f aca="false">H9+I9+J9+K9</f>
        <v>691</v>
      </c>
      <c r="M9" s="12" t="n">
        <v>201</v>
      </c>
      <c r="N9" s="12" t="n">
        <v>233</v>
      </c>
      <c r="O9" s="12" t="n">
        <v>258</v>
      </c>
      <c r="P9" s="12" t="n">
        <v>324</v>
      </c>
      <c r="Q9" s="13" t="n">
        <f aca="false">M9+N9+O9+P9</f>
        <v>1016</v>
      </c>
      <c r="R9" s="12" t="n">
        <v>359</v>
      </c>
      <c r="S9" s="12" t="n">
        <v>397</v>
      </c>
      <c r="T9" s="12" t="n">
        <v>412</v>
      </c>
      <c r="U9" s="12" t="n">
        <v>507</v>
      </c>
      <c r="V9" s="13" t="n">
        <f aca="false">R9+S9+T9+U9</f>
        <v>1675</v>
      </c>
      <c r="W9" s="12" t="n">
        <v>452</v>
      </c>
      <c r="X9" s="12" t="n">
        <v>507</v>
      </c>
      <c r="Y9" s="12" t="n">
        <v>530</v>
      </c>
      <c r="Z9" s="12" t="n">
        <v>632</v>
      </c>
      <c r="AA9" s="13" t="n">
        <f aca="false">W9+X9+Y9+Z9</f>
        <v>2121</v>
      </c>
      <c r="AB9" s="12" t="n">
        <v>443</v>
      </c>
      <c r="AC9" s="12" t="n">
        <v>467</v>
      </c>
      <c r="AD9" s="12" t="n">
        <v>537</v>
      </c>
      <c r="AE9" s="12" t="n">
        <v>702</v>
      </c>
      <c r="AF9" s="13" t="n">
        <f aca="false">AB9+AC9+AD9+AE9</f>
        <v>2149</v>
      </c>
      <c r="AG9" s="12" t="n">
        <v>654</v>
      </c>
      <c r="AH9" s="12" t="n">
        <v>727</v>
      </c>
      <c r="AI9" s="12" t="n">
        <v>725</v>
      </c>
      <c r="AJ9" s="12" t="n">
        <v>842</v>
      </c>
      <c r="AK9" s="13" t="n">
        <f aca="false">AG9+AH9+AI9+AJ9</f>
        <v>2948</v>
      </c>
      <c r="AL9" s="12" t="n">
        <v>837</v>
      </c>
      <c r="AM9" s="12" t="n">
        <v>865</v>
      </c>
      <c r="AN9" s="12" t="n">
        <v>831</v>
      </c>
      <c r="AO9" s="12" t="n">
        <v>965</v>
      </c>
      <c r="AP9" s="13" t="n">
        <f aca="false">AL9+AM9+AN9+AO9</f>
        <v>3498</v>
      </c>
      <c r="AQ9" s="12" t="n">
        <v>1146</v>
      </c>
      <c r="AR9" s="12" t="n">
        <v>1280</v>
      </c>
      <c r="AS9" s="12" t="n">
        <v>1366</v>
      </c>
      <c r="AT9" s="12" t="n">
        <v>1604</v>
      </c>
      <c r="AU9" s="13" t="n">
        <f aca="false">AQ9+AR9+AS9+AT9</f>
        <v>5396</v>
      </c>
      <c r="AV9" s="12" t="n">
        <v>1640</v>
      </c>
      <c r="AW9" s="12" t="n">
        <v>1758</v>
      </c>
      <c r="AX9" s="12" t="n">
        <v>1827</v>
      </c>
      <c r="AY9" s="12" t="n">
        <v>2177</v>
      </c>
      <c r="AZ9" s="13" t="n">
        <f aca="false">AV9+AW9+AX9+AY9</f>
        <v>7402</v>
      </c>
      <c r="BA9" s="12" t="n">
        <v>1904</v>
      </c>
      <c r="BB9" s="12" t="n">
        <v>2138</v>
      </c>
      <c r="BC9" s="12" t="n">
        <v>2340</v>
      </c>
      <c r="BD9" s="12" t="n">
        <v>2695</v>
      </c>
      <c r="BE9" s="13" t="n">
        <f aca="false">BA9+BB9+BC9+BD9</f>
        <v>9077</v>
      </c>
    </row>
    <row r="10" customFormat="false" ht="15" hidden="false" customHeight="false" outlineLevel="0" collapsed="false">
      <c r="A10" s="14" t="s">
        <v>25</v>
      </c>
      <c r="B10" s="11" t="s">
        <v>23</v>
      </c>
      <c r="C10" s="15" t="n">
        <f aca="false">+C8+C9</f>
        <v>3543</v>
      </c>
      <c r="D10" s="15" t="n">
        <f aca="false">+D8+D9</f>
        <v>4042</v>
      </c>
      <c r="E10" s="15" t="n">
        <f aca="false">+E8+E9</f>
        <v>4501</v>
      </c>
      <c r="F10" s="15" t="n">
        <f aca="false">+F8+F9</f>
        <v>5841</v>
      </c>
      <c r="G10" s="15" t="n">
        <f aca="false">+G8+G9</f>
        <v>17927</v>
      </c>
      <c r="H10" s="15" t="n">
        <f aca="false">+H8+H9</f>
        <v>5382</v>
      </c>
      <c r="I10" s="15" t="n">
        <f aca="false">+I8+I9</f>
        <v>6436</v>
      </c>
      <c r="J10" s="15" t="n">
        <f aca="false">+J8+J9</f>
        <v>7011</v>
      </c>
      <c r="K10" s="15" t="n">
        <f aca="false">+K8+K9</f>
        <v>8809</v>
      </c>
      <c r="L10" s="15" t="n">
        <f aca="false">+L8+L9</f>
        <v>27638</v>
      </c>
      <c r="M10" s="15" t="n">
        <f aca="false">+M8+M9</f>
        <v>8032</v>
      </c>
      <c r="N10" s="15" t="n">
        <f aca="false">+N8+N9</f>
        <v>9321</v>
      </c>
      <c r="O10" s="15" t="n">
        <f aca="false">+O8+O9</f>
        <v>10328</v>
      </c>
      <c r="P10" s="15" t="n">
        <f aca="false">+P8+P9</f>
        <v>12972</v>
      </c>
      <c r="Q10" s="15" t="n">
        <f aca="false">+Q8+Q9</f>
        <v>40653</v>
      </c>
      <c r="R10" s="15" t="n">
        <f aca="false">+R8+R9</f>
        <v>11966</v>
      </c>
      <c r="S10" s="15" t="n">
        <f aca="false">+S8+S9</f>
        <v>13231</v>
      </c>
      <c r="T10" s="15" t="n">
        <f aca="false">+T8+T9</f>
        <v>13727</v>
      </c>
      <c r="U10" s="15" t="n">
        <f aca="false">+U8+U9</f>
        <v>16914</v>
      </c>
      <c r="V10" s="15" t="n">
        <f aca="false">+V8+V9</f>
        <v>55838</v>
      </c>
      <c r="W10" s="15" t="n">
        <f aca="false">+W8+W9</f>
        <v>15077</v>
      </c>
      <c r="X10" s="15" t="n">
        <f aca="false">+X8+X9</f>
        <v>16886</v>
      </c>
      <c r="Y10" s="15" t="n">
        <f aca="false">+Y8+Y9</f>
        <v>17652</v>
      </c>
      <c r="Z10" s="15" t="n">
        <f aca="false">+Z8+Z9</f>
        <v>21082</v>
      </c>
      <c r="AA10" s="15" t="n">
        <f aca="false">+AA8+AA9</f>
        <v>70697</v>
      </c>
      <c r="AB10" s="15" t="n">
        <f aca="false">+AB8+AB9</f>
        <v>17737</v>
      </c>
      <c r="AC10" s="15" t="n">
        <f aca="false">+AC8+AC9</f>
        <v>18687</v>
      </c>
      <c r="AD10" s="15" t="n">
        <f aca="false">+AD8+AD9</f>
        <v>21470</v>
      </c>
      <c r="AE10" s="15" t="n">
        <f aca="false">+AE8+AE9</f>
        <v>28072</v>
      </c>
      <c r="AF10" s="15" t="n">
        <f aca="false">+AF8+AF9</f>
        <v>85966</v>
      </c>
      <c r="AG10" s="15" t="n">
        <f aca="false">+AG8+AG9</f>
        <v>26171</v>
      </c>
      <c r="AH10" s="15" t="n">
        <f aca="false">+AH8+AH9</f>
        <v>29077</v>
      </c>
      <c r="AI10" s="15" t="n">
        <f aca="false">+AI8+AI9</f>
        <v>29010</v>
      </c>
      <c r="AJ10" s="15" t="n">
        <f aca="false">+AJ8+AJ9</f>
        <v>33671</v>
      </c>
      <c r="AK10" s="15" t="n">
        <f aca="false">+AK8+AK9</f>
        <v>117929</v>
      </c>
      <c r="AL10" s="15" t="n">
        <f aca="false">+AL8+AL9</f>
        <v>27908</v>
      </c>
      <c r="AM10" s="15" t="n">
        <f aca="false">+AM8+AM9</f>
        <v>28822</v>
      </c>
      <c r="AN10" s="15" t="n">
        <f aca="false">+AN8+AN9</f>
        <v>27714</v>
      </c>
      <c r="AO10" s="15" t="n">
        <f aca="false">+AO8+AO9</f>
        <v>32165</v>
      </c>
      <c r="AP10" s="15" t="n">
        <f aca="false">+AP8+AP9</f>
        <v>116609</v>
      </c>
      <c r="AQ10" s="15" t="n">
        <f aca="false">+AQ8+AQ9</f>
        <v>28645</v>
      </c>
      <c r="AR10" s="15" t="n">
        <f aca="false">+AR8+AR9</f>
        <v>31999</v>
      </c>
      <c r="AS10" s="15" t="n">
        <f aca="false">+AS8+AS9</f>
        <v>34146</v>
      </c>
      <c r="AT10" s="15" t="n">
        <f aca="false">+AT8+AT9</f>
        <v>40111</v>
      </c>
      <c r="AU10" s="15" t="n">
        <f aca="false">+AU8+AU9</f>
        <v>134901</v>
      </c>
      <c r="AV10" s="15" t="n">
        <f aca="false">+AV8+AV9</f>
        <v>36455</v>
      </c>
      <c r="AW10" s="15" t="n">
        <f aca="false">+AW8+AW9</f>
        <v>39071</v>
      </c>
      <c r="AX10" s="15" t="n">
        <f aca="false">+AX8+AX9</f>
        <v>40589</v>
      </c>
      <c r="AY10" s="15" t="n">
        <f aca="false">+AY8+AY9</f>
        <v>48385</v>
      </c>
      <c r="AZ10" s="15" t="n">
        <f aca="false">+AZ8+AZ9</f>
        <v>164500</v>
      </c>
      <c r="BA10" s="15" t="n">
        <f aca="false">+BA8+BA9</f>
        <v>42314</v>
      </c>
      <c r="BB10" s="15" t="n">
        <f aca="false">+BB8+BB9</f>
        <v>47517</v>
      </c>
      <c r="BC10" s="15" t="n">
        <f aca="false">+BC8+BC9</f>
        <v>52000</v>
      </c>
      <c r="BD10" s="15" t="n">
        <f aca="false">+BD8+BD9</f>
        <v>59894</v>
      </c>
      <c r="BE10" s="15" t="n">
        <f aca="false">+BE8+BE9</f>
        <v>201725</v>
      </c>
    </row>
    <row r="11" customFormat="false" ht="15" hidden="false" customHeight="false" outlineLevel="0" collapsed="false">
      <c r="A11" s="16" t="s">
        <v>26</v>
      </c>
      <c r="B11" s="11" t="s">
        <v>27</v>
      </c>
      <c r="H11" s="17" t="n">
        <f aca="false">IF(C10=0,0,(H10-C10)/C10)</f>
        <v>0.519051651143099</v>
      </c>
      <c r="I11" s="17" t="n">
        <f aca="false">IF(D10=0,0,(I10-D10)/D10)</f>
        <v>0.592281048985651</v>
      </c>
      <c r="J11" s="17" t="n">
        <f aca="false">IF(E10=0,0,(J10-E10)/E10)</f>
        <v>0.557653854698956</v>
      </c>
      <c r="K11" s="17" t="n">
        <f aca="false">IF(F10=0,0,(K10-F10)/F10)</f>
        <v>0.508132169149118</v>
      </c>
      <c r="L11" s="18" t="n">
        <f aca="false">IF(G10=0,0,(L10-G10)/G10)</f>
        <v>0.541696881798405</v>
      </c>
      <c r="M11" s="17" t="n">
        <f aca="false">IF(H10=0,0,(M10-H10)/H10)</f>
        <v>0.492382014121145</v>
      </c>
      <c r="N11" s="17" t="n">
        <f aca="false">IF(I10=0,0,(N10-I10)/I10)</f>
        <v>0.448259788688627</v>
      </c>
      <c r="O11" s="17" t="n">
        <f aca="false">IF(J10=0,0,(O10-J10)/J10)</f>
        <v>0.473113678505206</v>
      </c>
      <c r="P11" s="17" t="n">
        <f aca="false">IF(K10=0,0,(P10-K10)/K10)</f>
        <v>0.472584856396867</v>
      </c>
      <c r="Q11" s="18" t="n">
        <f aca="false">IF(L10=0,0,(Q10-L10)/L10)</f>
        <v>0.470909617193719</v>
      </c>
      <c r="R11" s="17" t="n">
        <f aca="false">IF(M10=0,0,(R10-M10)/M10)</f>
        <v>0.489790836653386</v>
      </c>
      <c r="S11" s="17" t="n">
        <f aca="false">IF(N10=0,0,(S10-N10)/N10)</f>
        <v>0.419482888102135</v>
      </c>
      <c r="T11" s="17" t="n">
        <f aca="false">IF(O10=0,0,(T10-O10)/O10)</f>
        <v>0.329105344694036</v>
      </c>
      <c r="U11" s="17" t="n">
        <f aca="false">IF(P10=0,0,(U10-P10)/P10)</f>
        <v>0.303885291396855</v>
      </c>
      <c r="V11" s="18" t="n">
        <f aca="false">IF(Q10=0,0,(V10-Q10)/Q10)</f>
        <v>0.37352716896662</v>
      </c>
      <c r="W11" s="17" t="n">
        <f aca="false">IF(R10=0,0,(W10-R10)/R10)</f>
        <v>0.259986628781548</v>
      </c>
      <c r="X11" s="17" t="n">
        <f aca="false">IF(S10=0,0,(X10-S10)/S10)</f>
        <v>0.276245181770085</v>
      </c>
      <c r="Y11" s="17" t="n">
        <f aca="false">IF(T10=0,0,(Y10-T10)/T10)</f>
        <v>0.285932833102644</v>
      </c>
      <c r="Z11" s="17" t="n">
        <f aca="false">IF(U10=0,0,(Z10-U10)/U10)</f>
        <v>0.246423081470971</v>
      </c>
      <c r="AA11" s="18" t="n">
        <f aca="false">IF(V10=0,0,(AA10-V10)/V10)</f>
        <v>0.266109101328844</v>
      </c>
      <c r="AB11" s="17" t="n">
        <f aca="false">IF(W10=0,0,(AB10-W10)/W10)</f>
        <v>0.176427671287391</v>
      </c>
      <c r="AC11" s="17" t="n">
        <f aca="false">IF(X10=0,0,(AC10-X10)/X10)</f>
        <v>0.106656401752931</v>
      </c>
      <c r="AD11" s="17" t="n">
        <f aca="false">IF(Y10=0,0,(AD10-Y10)/Y10)</f>
        <v>0.216292771357353</v>
      </c>
      <c r="AE11" s="17" t="n">
        <f aca="false">IF(Z10=0,0,(AE10-Z10)/Z10)</f>
        <v>0.331562470353856</v>
      </c>
      <c r="AF11" s="18" t="n">
        <f aca="false">IF(AA10=0,0,(AF10-AA10)/AA10)</f>
        <v>0.215978047159003</v>
      </c>
      <c r="AG11" s="17" t="n">
        <f aca="false">IF(AB10=0,0,(AG10-AB10)/AB10)</f>
        <v>0.475503185431584</v>
      </c>
      <c r="AH11" s="17" t="n">
        <f aca="false">IF(AC10=0,0,(AH10-AC10)/AC10)</f>
        <v>0.556001498367849</v>
      </c>
      <c r="AI11" s="17" t="n">
        <f aca="false">IF(AD10=0,0,(AI10-AD10)/AD10)</f>
        <v>0.351187703772706</v>
      </c>
      <c r="AJ11" s="17" t="n">
        <f aca="false">IF(AE10=0,0,(AJ10-AE10)/AE10)</f>
        <v>0.199451410658307</v>
      </c>
      <c r="AK11" s="18" t="n">
        <f aca="false">IF(AF10=0,0,(AK10-AF10)/AF10)</f>
        <v>0.371809785263942</v>
      </c>
      <c r="AL11" s="17" t="n">
        <f aca="false">IF(AG10=0,0,(AL10-AG10)/AG10)</f>
        <v>0.0663711742004509</v>
      </c>
      <c r="AM11" s="17" t="n">
        <f aca="false">IF(AH10=0,0,(AM10-AH10)/AH10)</f>
        <v>-0.00876981806926437</v>
      </c>
      <c r="AN11" s="17" t="n">
        <f aca="false">IF(AI10=0,0,(AN10-AI10)/AI10)</f>
        <v>-0.0446742502585315</v>
      </c>
      <c r="AO11" s="17" t="n">
        <f aca="false">IF(AJ10=0,0,(AO10-AJ10)/AJ10)</f>
        <v>-0.0447269163375011</v>
      </c>
      <c r="AP11" s="18" t="n">
        <f aca="false">IF(AK10=0,0,(AP10-AK10)/AK10)</f>
        <v>-0.011193175554783</v>
      </c>
      <c r="AQ11" s="17" t="n">
        <f aca="false">IF(AL10=0,0,(AQ10-AL10)/AL10)</f>
        <v>0.0264081983660599</v>
      </c>
      <c r="AR11" s="17" t="n">
        <f aca="false">IF(AM10=0,0,(AR10-AM10)/AM10)</f>
        <v>0.110228297828048</v>
      </c>
      <c r="AS11" s="17" t="n">
        <f aca="false">IF(AN10=0,0,(AS10-AN10)/AN10)</f>
        <v>0.232084866854297</v>
      </c>
      <c r="AT11" s="17" t="n">
        <f aca="false">IF(AO10=0,0,(AT10-AO10)/AO10)</f>
        <v>0.247038706668739</v>
      </c>
      <c r="AU11" s="18" t="n">
        <f aca="false">IF(AP10=0,0,(AU10-AP10)/AP10)</f>
        <v>0.156866108104863</v>
      </c>
      <c r="AV11" s="17" t="n">
        <f aca="false">IF(AQ10=0,0,(AV10-AQ10)/AQ10)</f>
        <v>0.272647931576191</v>
      </c>
      <c r="AW11" s="17" t="n">
        <f aca="false">IF(AR10=0,0,(AW10-AR10)/AR10)</f>
        <v>0.221006906465827</v>
      </c>
      <c r="AX11" s="17" t="n">
        <f aca="false">IF(AS10=0,0,(AX10-AS10)/AS10)</f>
        <v>0.188689744040298</v>
      </c>
      <c r="AY11" s="17" t="n">
        <f aca="false">IF(AT10=0,0,(AY10-AT10)/AT10)</f>
        <v>0.206277579716287</v>
      </c>
      <c r="AZ11" s="18" t="n">
        <f aca="false">IF(AU10=0,0,(AZ10-AU10)/AU10)</f>
        <v>0.219412754538513</v>
      </c>
      <c r="BA11" s="17" t="n">
        <f aca="false">IF(AV10=0,0,(BA10-AV10)/AV10)</f>
        <v>0.16071869428062</v>
      </c>
      <c r="BB11" s="17" t="n">
        <f aca="false">IF(AW10=0,0,(BB10-AW10)/AW10)</f>
        <v>0.216170561285864</v>
      </c>
      <c r="BC11" s="17" t="n">
        <f aca="false">IF(AX10=0,0,(BC10-AX10)/AX10)</f>
        <v>0.281135282958437</v>
      </c>
      <c r="BD11" s="17" t="n">
        <f aca="false">IF(AY10=0,0,(BD10-AY10)/AY10)</f>
        <v>0.237862974062209</v>
      </c>
      <c r="BE11" s="18" t="n">
        <f aca="false">IF(AZ10=0,0,(BE10-AZ10)/AZ10)</f>
        <v>0.22629179331307</v>
      </c>
    </row>
    <row r="13" customFormat="false" ht="15" hidden="false" customHeight="false" outlineLevel="0" collapsed="false">
      <c r="A13" s="8" t="s">
        <v>28</v>
      </c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</row>
    <row r="14" customFormat="false" ht="15" hidden="false" customHeight="false" outlineLevel="0" collapsed="false">
      <c r="A14" s="14" t="s">
        <v>29</v>
      </c>
      <c r="B14" s="11" t="s">
        <v>23</v>
      </c>
      <c r="C14" s="12" t="n">
        <v>3543</v>
      </c>
      <c r="D14" s="12" t="n">
        <v>4042</v>
      </c>
      <c r="E14" s="12" t="n">
        <v>4501</v>
      </c>
      <c r="F14" s="12" t="n">
        <v>5841</v>
      </c>
      <c r="G14" s="19" t="n">
        <f aca="false">C14+D14+E14+F14</f>
        <v>17927</v>
      </c>
      <c r="H14" s="12" t="n">
        <v>5382</v>
      </c>
      <c r="I14" s="12" t="n">
        <v>6436</v>
      </c>
      <c r="J14" s="12" t="n">
        <v>7011</v>
      </c>
      <c r="K14" s="12" t="n">
        <v>8809</v>
      </c>
      <c r="L14" s="19" t="n">
        <f aca="false">H14+I14+J14+K14</f>
        <v>27638</v>
      </c>
      <c r="M14" s="12" t="n">
        <v>8032</v>
      </c>
      <c r="N14" s="12" t="n">
        <v>9321</v>
      </c>
      <c r="O14" s="12" t="n">
        <v>10328</v>
      </c>
      <c r="P14" s="12" t="n">
        <v>12972</v>
      </c>
      <c r="Q14" s="19" t="n">
        <f aca="false">M14+N14+O14+P14</f>
        <v>40653</v>
      </c>
      <c r="R14" s="12" t="n">
        <v>11966</v>
      </c>
      <c r="S14" s="12" t="n">
        <v>13231</v>
      </c>
      <c r="T14" s="12" t="n">
        <v>13727</v>
      </c>
      <c r="U14" s="12" t="n">
        <v>16914</v>
      </c>
      <c r="V14" s="19" t="n">
        <f aca="false">R14+S14+T14+U14</f>
        <v>55838</v>
      </c>
      <c r="W14" s="12" t="n">
        <v>15077</v>
      </c>
      <c r="X14" s="12" t="n">
        <v>16886</v>
      </c>
      <c r="Y14" s="12" t="n">
        <v>17652</v>
      </c>
      <c r="Z14" s="12" t="n">
        <v>21082</v>
      </c>
      <c r="AA14" s="19" t="n">
        <f aca="false">W14+X14+Y14+Z14</f>
        <v>70697</v>
      </c>
      <c r="AB14" s="12" t="n">
        <v>17737</v>
      </c>
      <c r="AC14" s="12" t="n">
        <v>18687</v>
      </c>
      <c r="AD14" s="12" t="n">
        <v>21470</v>
      </c>
      <c r="AE14" s="12" t="n">
        <v>28072</v>
      </c>
      <c r="AF14" s="19" t="n">
        <f aca="false">AB14+AC14+AD14+AE14</f>
        <v>85966</v>
      </c>
      <c r="AG14" s="12" t="n">
        <v>26171</v>
      </c>
      <c r="AH14" s="12" t="n">
        <v>29077</v>
      </c>
      <c r="AI14" s="12" t="n">
        <v>29010</v>
      </c>
      <c r="AJ14" s="12" t="n">
        <v>33671</v>
      </c>
      <c r="AK14" s="19" t="n">
        <f aca="false">AG14+AH14+AI14+AJ14</f>
        <v>117929</v>
      </c>
      <c r="AL14" s="12" t="n">
        <v>27908</v>
      </c>
      <c r="AM14" s="12" t="n">
        <v>28822</v>
      </c>
      <c r="AN14" s="12" t="n">
        <v>27714</v>
      </c>
      <c r="AO14" s="12" t="n">
        <v>32165</v>
      </c>
      <c r="AP14" s="19" t="n">
        <f aca="false">AL14+AM14+AN14+AO14</f>
        <v>116609</v>
      </c>
      <c r="AQ14" s="12" t="n">
        <v>28645</v>
      </c>
      <c r="AR14" s="12" t="n">
        <v>31999</v>
      </c>
      <c r="AS14" s="12" t="n">
        <v>34146</v>
      </c>
      <c r="AT14" s="12" t="n">
        <v>40111</v>
      </c>
      <c r="AU14" s="19" t="n">
        <f aca="false">AQ14+AR14+AS14+AT14</f>
        <v>134901</v>
      </c>
      <c r="AV14" s="12" t="n">
        <v>36455</v>
      </c>
      <c r="AW14" s="12" t="n">
        <v>39071</v>
      </c>
      <c r="AX14" s="12" t="n">
        <v>40589</v>
      </c>
      <c r="AY14" s="12" t="n">
        <v>48385</v>
      </c>
      <c r="AZ14" s="19" t="n">
        <f aca="false">AV14+AW14+AX14+AY14</f>
        <v>164500</v>
      </c>
      <c r="BA14" s="12" t="n">
        <v>42314</v>
      </c>
      <c r="BB14" s="12" t="n">
        <v>47517</v>
      </c>
      <c r="BC14" s="12" t="n">
        <v>52000</v>
      </c>
      <c r="BD14" s="12" t="n">
        <v>59894</v>
      </c>
      <c r="BE14" s="19" t="n">
        <f aca="false">BA14+BB14+BC14+BD14</f>
        <v>201725</v>
      </c>
    </row>
    <row r="15" customFormat="false" ht="15" hidden="false" customHeight="false" outlineLevel="0" collapsed="false">
      <c r="A15" s="10" t="s">
        <v>30</v>
      </c>
      <c r="B15" s="11" t="s">
        <v>23</v>
      </c>
      <c r="C15" s="12" t="n">
        <v>693</v>
      </c>
      <c r="D15" s="12" t="n">
        <v>758</v>
      </c>
      <c r="E15" s="12" t="n">
        <v>826</v>
      </c>
      <c r="F15" s="12" t="n">
        <v>929</v>
      </c>
      <c r="G15" s="13" t="n">
        <f aca="false">C15+D15+E15+F15</f>
        <v>3206</v>
      </c>
      <c r="H15" s="12" t="n">
        <v>971</v>
      </c>
      <c r="I15" s="12" t="n">
        <v>1089</v>
      </c>
      <c r="J15" s="12" t="n">
        <v>1248</v>
      </c>
      <c r="K15" s="12" t="n">
        <v>1525</v>
      </c>
      <c r="L15" s="13" t="n">
        <f aca="false">H15+I15+J15+K15</f>
        <v>4833</v>
      </c>
      <c r="M15" s="12" t="n">
        <v>1575</v>
      </c>
      <c r="N15" s="12" t="n">
        <v>1738</v>
      </c>
      <c r="O15" s="12" t="n">
        <v>1893</v>
      </c>
      <c r="P15" s="12" t="n">
        <v>2300</v>
      </c>
      <c r="Q15" s="13" t="n">
        <f aca="false">M15+N15+O15+P15</f>
        <v>7506</v>
      </c>
      <c r="R15" s="12" t="n">
        <v>2292</v>
      </c>
      <c r="S15" s="12" t="n">
        <v>2564</v>
      </c>
      <c r="T15" s="12" t="n">
        <v>2725</v>
      </c>
      <c r="U15" s="12" t="n">
        <v>3154</v>
      </c>
      <c r="V15" s="13" t="n">
        <f aca="false">R15+S15+T15+U15</f>
        <v>10735</v>
      </c>
      <c r="W15" s="12" t="n">
        <v>3081</v>
      </c>
      <c r="X15" s="12" t="n">
        <v>3268</v>
      </c>
      <c r="Y15" s="12" t="n">
        <v>3591</v>
      </c>
      <c r="Z15" s="12" t="n">
        <v>4117</v>
      </c>
      <c r="AA15" s="13" t="n">
        <f aca="false">W15+X15+Y15+Z15</f>
        <v>14057</v>
      </c>
      <c r="AB15" s="12" t="n">
        <v>3914</v>
      </c>
      <c r="AC15" s="12" t="n">
        <v>3850</v>
      </c>
      <c r="AD15" s="12" t="n">
        <v>4103</v>
      </c>
      <c r="AE15" s="12" t="n">
        <v>4906</v>
      </c>
      <c r="AF15" s="13" t="n">
        <f aca="false">AB15+AC15+AD15+AE15</f>
        <v>16773</v>
      </c>
      <c r="AG15" s="12" t="n">
        <v>4896</v>
      </c>
      <c r="AH15" s="12" t="n">
        <v>5258</v>
      </c>
      <c r="AI15" s="12" t="n">
        <v>5660</v>
      </c>
      <c r="AJ15" s="12" t="n">
        <v>7068</v>
      </c>
      <c r="AK15" s="13" t="n">
        <f aca="false">AG15+AH15+AI15+AJ15</f>
        <v>22882</v>
      </c>
      <c r="AL15" s="12" t="n">
        <v>7266</v>
      </c>
      <c r="AM15" s="12" t="n">
        <v>7691</v>
      </c>
      <c r="AN15" s="12" t="n">
        <v>8129</v>
      </c>
      <c r="AO15" s="12" t="n">
        <v>8703</v>
      </c>
      <c r="AP15" s="13" t="n">
        <f aca="false">AL15+AM15+AN15+AO15</f>
        <v>31789</v>
      </c>
      <c r="AQ15" s="12" t="n">
        <v>7329</v>
      </c>
      <c r="AR15" s="12" t="n">
        <v>7262</v>
      </c>
      <c r="AS15" s="12" t="n">
        <v>7310</v>
      </c>
      <c r="AT15" s="12" t="n">
        <v>8289</v>
      </c>
      <c r="AU15" s="13" t="n">
        <f aca="false">AQ15+AR15+AS15+AT15</f>
        <v>30190</v>
      </c>
      <c r="AV15" s="12" t="n">
        <v>7584</v>
      </c>
      <c r="AW15" s="12" t="n">
        <v>8345</v>
      </c>
      <c r="AX15" s="12" t="n">
        <v>9297</v>
      </c>
      <c r="AY15" s="12" t="n">
        <v>11284</v>
      </c>
      <c r="AZ15" s="13" t="n">
        <f aca="false">AV15+AW15+AX15+AY15</f>
        <v>36510</v>
      </c>
      <c r="BA15" s="12" t="n">
        <v>10691</v>
      </c>
      <c r="BB15" s="12" t="n">
        <v>11953</v>
      </c>
      <c r="BC15" s="12" t="n">
        <v>13100</v>
      </c>
      <c r="BD15" s="12" t="n">
        <v>15200</v>
      </c>
      <c r="BE15" s="13" t="n">
        <f aca="false">BA15+BB15+BC15+BD15</f>
        <v>50944</v>
      </c>
    </row>
    <row r="16" customFormat="false" ht="15" hidden="false" customHeight="false" outlineLevel="0" collapsed="false">
      <c r="A16" s="14" t="s">
        <v>31</v>
      </c>
      <c r="B16" s="11" t="s">
        <v>23</v>
      </c>
      <c r="C16" s="20" t="n">
        <f aca="false">+C14-C15</f>
        <v>2850</v>
      </c>
      <c r="D16" s="20" t="n">
        <f aca="false">+D14-D15</f>
        <v>3284</v>
      </c>
      <c r="E16" s="20" t="n">
        <f aca="false">+E14-E15</f>
        <v>3675</v>
      </c>
      <c r="F16" s="20" t="n">
        <f aca="false">+F14-F15</f>
        <v>4912</v>
      </c>
      <c r="G16" s="20" t="n">
        <f aca="false">+G14-G15</f>
        <v>14721</v>
      </c>
      <c r="H16" s="20" t="n">
        <f aca="false">+H14-H15</f>
        <v>4411</v>
      </c>
      <c r="I16" s="20" t="n">
        <f aca="false">+I14-I15</f>
        <v>5347</v>
      </c>
      <c r="J16" s="20" t="n">
        <f aca="false">+J14-J15</f>
        <v>5763</v>
      </c>
      <c r="K16" s="20" t="n">
        <f aca="false">+K14-K15</f>
        <v>7284</v>
      </c>
      <c r="L16" s="20" t="n">
        <f aca="false">+L14-L15</f>
        <v>22805</v>
      </c>
      <c r="M16" s="20" t="n">
        <f aca="false">+M14-M15</f>
        <v>6457</v>
      </c>
      <c r="N16" s="20" t="n">
        <f aca="false">+N14-N15</f>
        <v>7583</v>
      </c>
      <c r="O16" s="20" t="n">
        <f aca="false">+O14-O15</f>
        <v>8435</v>
      </c>
      <c r="P16" s="20" t="n">
        <f aca="false">+P14-P15</f>
        <v>10672</v>
      </c>
      <c r="Q16" s="20" t="n">
        <f aca="false">+Q14-Q15</f>
        <v>33147</v>
      </c>
      <c r="R16" s="20" t="n">
        <f aca="false">+R14-R15</f>
        <v>9674</v>
      </c>
      <c r="S16" s="20" t="n">
        <f aca="false">+S14-S15</f>
        <v>10667</v>
      </c>
      <c r="T16" s="20" t="n">
        <f aca="false">+T14-T15</f>
        <v>11002</v>
      </c>
      <c r="U16" s="20" t="n">
        <f aca="false">+U14-U15</f>
        <v>13760</v>
      </c>
      <c r="V16" s="20" t="n">
        <f aca="false">+V14-V15</f>
        <v>45103</v>
      </c>
      <c r="W16" s="20" t="n">
        <f aca="false">+W14-W15</f>
        <v>11996</v>
      </c>
      <c r="X16" s="20" t="n">
        <f aca="false">+X14-X15</f>
        <v>13618</v>
      </c>
      <c r="Y16" s="20" t="n">
        <f aca="false">+Y14-Y15</f>
        <v>14061</v>
      </c>
      <c r="Z16" s="20" t="n">
        <f aca="false">+Z14-Z15</f>
        <v>16965</v>
      </c>
      <c r="AA16" s="20" t="n">
        <f aca="false">+AA14-AA15</f>
        <v>56640</v>
      </c>
      <c r="AB16" s="20" t="n">
        <f aca="false">+AB14-AB15</f>
        <v>13823</v>
      </c>
      <c r="AC16" s="20" t="n">
        <f aca="false">+AC14-AC15</f>
        <v>14837</v>
      </c>
      <c r="AD16" s="20" t="n">
        <f aca="false">+AD14-AD15</f>
        <v>17367</v>
      </c>
      <c r="AE16" s="20" t="n">
        <f aca="false">+AE14-AE15</f>
        <v>23166</v>
      </c>
      <c r="AF16" s="20" t="n">
        <f aca="false">+AF14-AF15</f>
        <v>69193</v>
      </c>
      <c r="AG16" s="20" t="n">
        <f aca="false">+AG14-AG15</f>
        <v>21275</v>
      </c>
      <c r="AH16" s="20" t="n">
        <f aca="false">+AH14-AH15</f>
        <v>23819</v>
      </c>
      <c r="AI16" s="20" t="n">
        <f aca="false">+AI14-AI15</f>
        <v>23350</v>
      </c>
      <c r="AJ16" s="20" t="n">
        <f aca="false">+AJ14-AJ15</f>
        <v>26603</v>
      </c>
      <c r="AK16" s="20" t="n">
        <f aca="false">+AK14-AK15</f>
        <v>95047</v>
      </c>
      <c r="AL16" s="20" t="n">
        <f aca="false">+AL14-AL15</f>
        <v>20642</v>
      </c>
      <c r="AM16" s="20" t="n">
        <f aca="false">+AM14-AM15</f>
        <v>21131</v>
      </c>
      <c r="AN16" s="20" t="n">
        <f aca="false">+AN14-AN15</f>
        <v>19585</v>
      </c>
      <c r="AO16" s="20" t="n">
        <f aca="false">+AO14-AO15</f>
        <v>23462</v>
      </c>
      <c r="AP16" s="20" t="n">
        <f aca="false">+AP14-AP15</f>
        <v>84820</v>
      </c>
      <c r="AQ16" s="20" t="n">
        <f aca="false">+AQ14-AQ15</f>
        <v>21316</v>
      </c>
      <c r="AR16" s="20" t="n">
        <f aca="false">+AR14-AR15</f>
        <v>24737</v>
      </c>
      <c r="AS16" s="20" t="n">
        <f aca="false">+AS14-AS15</f>
        <v>26836</v>
      </c>
      <c r="AT16" s="20" t="n">
        <f aca="false">+AT14-AT15</f>
        <v>31822</v>
      </c>
      <c r="AU16" s="20" t="n">
        <f aca="false">+AU14-AU15</f>
        <v>104711</v>
      </c>
      <c r="AV16" s="20" t="n">
        <f aca="false">+AV14-AV15</f>
        <v>28871</v>
      </c>
      <c r="AW16" s="20" t="n">
        <f aca="false">+AW14-AW15</f>
        <v>30726</v>
      </c>
      <c r="AX16" s="20" t="n">
        <f aca="false">+AX14-AX15</f>
        <v>31292</v>
      </c>
      <c r="AY16" s="20" t="n">
        <f aca="false">+AY14-AY15</f>
        <v>37101</v>
      </c>
      <c r="AZ16" s="20" t="n">
        <f aca="false">+AZ14-AZ15</f>
        <v>127990</v>
      </c>
      <c r="BA16" s="20" t="n">
        <f aca="false">+BA14-BA15</f>
        <v>31623</v>
      </c>
      <c r="BB16" s="20" t="n">
        <f aca="false">+BB14-BB15</f>
        <v>35564</v>
      </c>
      <c r="BC16" s="20" t="n">
        <f aca="false">+BC14-BC15</f>
        <v>38900</v>
      </c>
      <c r="BD16" s="20" t="n">
        <f aca="false">+BD14-BD15</f>
        <v>44694</v>
      </c>
      <c r="BE16" s="20" t="n">
        <f aca="false">+BE14-BE15</f>
        <v>150781</v>
      </c>
    </row>
    <row r="17" customFormat="false" ht="15" hidden="false" customHeight="false" outlineLevel="0" collapsed="false">
      <c r="A17" s="16" t="s">
        <v>32</v>
      </c>
      <c r="B17" s="11" t="s">
        <v>27</v>
      </c>
      <c r="C17" s="17" t="n">
        <f aca="false">IF(C14=0,0,C16/C14)</f>
        <v>0.804403048264183</v>
      </c>
      <c r="D17" s="17" t="n">
        <f aca="false">IF(D14=0,0,D16/D14)</f>
        <v>0.812469074715487</v>
      </c>
      <c r="E17" s="17" t="n">
        <f aca="false">IF(E14=0,0,E16/E14)</f>
        <v>0.816485225505443</v>
      </c>
      <c r="F17" s="17" t="n">
        <f aca="false">IF(F14=0,0,F16/F14)</f>
        <v>0.840951891799349</v>
      </c>
      <c r="G17" s="17" t="n">
        <f aca="false">IF(G14=0,0,G16/G14)</f>
        <v>0.821163607965639</v>
      </c>
      <c r="H17" s="17" t="n">
        <f aca="false">IF(H14=0,0,H16/H14)</f>
        <v>0.819583797844667</v>
      </c>
      <c r="I17" s="17" t="n">
        <f aca="false">IF(I14=0,0,I16/I14)</f>
        <v>0.830795525170914</v>
      </c>
      <c r="J17" s="17" t="n">
        <f aca="false">IF(J14=0,0,J16/J14)</f>
        <v>0.821994009413778</v>
      </c>
      <c r="K17" s="17" t="n">
        <f aca="false">IF(K14=0,0,K16/K14)</f>
        <v>0.826881598365308</v>
      </c>
      <c r="L17" s="17" t="n">
        <f aca="false">IF(L14=0,0,L16/L14)</f>
        <v>0.82513206454881</v>
      </c>
      <c r="M17" s="17" t="n">
        <f aca="false">IF(M14=0,0,M16/M14)</f>
        <v>0.803909362549801</v>
      </c>
      <c r="N17" s="17" t="n">
        <f aca="false">IF(N14=0,0,N16/N14)</f>
        <v>0.813539319815471</v>
      </c>
      <c r="O17" s="17" t="n">
        <f aca="false">IF(O14=0,0,O16/O14)</f>
        <v>0.816711851278079</v>
      </c>
      <c r="P17" s="17" t="n">
        <f aca="false">IF(P14=0,0,P16/P14)</f>
        <v>0.822695035460993</v>
      </c>
      <c r="Q17" s="17" t="n">
        <f aca="false">IF(Q14=0,0,Q16/Q14)</f>
        <v>0.815364179765331</v>
      </c>
      <c r="R17" s="17" t="n">
        <f aca="false">IF(R14=0,0,R16/R14)</f>
        <v>0.808457295671068</v>
      </c>
      <c r="S17" s="17" t="n">
        <f aca="false">IF(S14=0,0,S16/S14)</f>
        <v>0.806212682336936</v>
      </c>
      <c r="T17" s="17" t="n">
        <f aca="false">IF(T14=0,0,T16/T14)</f>
        <v>0.801486122240839</v>
      </c>
      <c r="U17" s="17" t="n">
        <f aca="false">IF(U14=0,0,U16/U14)</f>
        <v>0.813527255527965</v>
      </c>
      <c r="V17" s="17" t="n">
        <f aca="false">IF(V14=0,0,V16/V14)</f>
        <v>0.807747412156596</v>
      </c>
      <c r="W17" s="17" t="n">
        <f aca="false">IF(W14=0,0,W16/W14)</f>
        <v>0.795649001790807</v>
      </c>
      <c r="X17" s="17" t="n">
        <f aca="false">IF(X14=0,0,X16/X14)</f>
        <v>0.806466895653204</v>
      </c>
      <c r="Y17" s="17" t="n">
        <f aca="false">IF(Y14=0,0,Y16/Y14)</f>
        <v>0.79656696125085</v>
      </c>
      <c r="Z17" s="17" t="n">
        <f aca="false">IF(Z14=0,0,Z16/Z14)</f>
        <v>0.804714922682857</v>
      </c>
      <c r="AA17" s="17" t="n">
        <f aca="false">IF(AA14=0,0,AA16/AA14)</f>
        <v>0.801165537434403</v>
      </c>
      <c r="AB17" s="17" t="n">
        <f aca="false">IF(AB14=0,0,AB16/AB14)</f>
        <v>0.779331341264024</v>
      </c>
      <c r="AC17" s="17" t="n">
        <f aca="false">IF(AC14=0,0,AC16/AC14)</f>
        <v>0.793974420720287</v>
      </c>
      <c r="AD17" s="17" t="n">
        <f aca="false">IF(AD14=0,0,AD16/AD14)</f>
        <v>0.808896134140661</v>
      </c>
      <c r="AE17" s="17" t="n">
        <f aca="false">IF(AE14=0,0,AE16/AE14)</f>
        <v>0.825235109717868</v>
      </c>
      <c r="AF17" s="17" t="n">
        <f aca="false">IF(AF14=0,0,AF16/AF14)</f>
        <v>0.804887978968429</v>
      </c>
      <c r="AG17" s="17" t="n">
        <f aca="false">IF(AG14=0,0,AG16/AG14)</f>
        <v>0.812922700699247</v>
      </c>
      <c r="AH17" s="17" t="n">
        <f aca="false">IF(AH14=0,0,AH16/AH14)</f>
        <v>0.81916979055611</v>
      </c>
      <c r="AI17" s="17" t="n">
        <f aca="false">IF(AI14=0,0,AI16/AI14)</f>
        <v>0.804894863840055</v>
      </c>
      <c r="AJ17" s="17" t="n">
        <f aca="false">IF(AJ14=0,0,AJ16/AJ14)</f>
        <v>0.790086424519616</v>
      </c>
      <c r="AK17" s="17" t="n">
        <f aca="false">IF(AK14=0,0,AK16/AK14)</f>
        <v>0.805967997693527</v>
      </c>
      <c r="AL17" s="17" t="n">
        <f aca="false">IF(AL14=0,0,AL16/AL14)</f>
        <v>0.739644546366633</v>
      </c>
      <c r="AM17" s="17" t="n">
        <f aca="false">IF(AM14=0,0,AM16/AM14)</f>
        <v>0.733155228644785</v>
      </c>
      <c r="AN17" s="17" t="n">
        <f aca="false">IF(AN14=0,0,AN16/AN14)</f>
        <v>0.706682543119001</v>
      </c>
      <c r="AO17" s="17" t="n">
        <f aca="false">IF(AO14=0,0,AO16/AO14)</f>
        <v>0.729426395150008</v>
      </c>
      <c r="AP17" s="17" t="n">
        <f aca="false">IF(AP14=0,0,AP16/AP14)</f>
        <v>0.727388108979581</v>
      </c>
      <c r="AQ17" s="17" t="n">
        <f aca="false">IF(AQ14=0,0,AQ16/AQ14)</f>
        <v>0.74414382963868</v>
      </c>
      <c r="AR17" s="17" t="n">
        <f aca="false">IF(AR14=0,0,AR16/AR14)</f>
        <v>0.773055407981499</v>
      </c>
      <c r="AS17" s="17" t="n">
        <f aca="false">IF(AS14=0,0,AS16/AS14)</f>
        <v>0.785919287764306</v>
      </c>
      <c r="AT17" s="17" t="n">
        <f aca="false">IF(AT14=0,0,AT16/AT14)</f>
        <v>0.79334845802897</v>
      </c>
      <c r="AU17" s="17" t="n">
        <f aca="false">IF(AU14=0,0,AU16/AU14)</f>
        <v>0.776206254957339</v>
      </c>
      <c r="AV17" s="17" t="n">
        <f aca="false">IF(AV14=0,0,AV16/AV14)</f>
        <v>0.791962693731998</v>
      </c>
      <c r="AW17" s="17" t="n">
        <f aca="false">IF(AW14=0,0,AW16/AW14)</f>
        <v>0.786414476209977</v>
      </c>
      <c r="AX17" s="17" t="n">
        <f aca="false">IF(AX14=0,0,AX16/AX14)</f>
        <v>0.770947793737219</v>
      </c>
      <c r="AY17" s="17" t="n">
        <f aca="false">IF(AY14=0,0,AY16/AY14)</f>
        <v>0.766787227446523</v>
      </c>
      <c r="AZ17" s="17" t="n">
        <f aca="false">IF(AZ14=0,0,AZ16/AZ14)</f>
        <v>0.778054711246201</v>
      </c>
      <c r="BA17" s="17" t="n">
        <f aca="false">IF(BA14=0,0,BA16/BA14)</f>
        <v>0.747341305478092</v>
      </c>
      <c r="BB17" s="17" t="n">
        <f aca="false">IF(BB14=0,0,BB16/BB14)</f>
        <v>0.74844792390092</v>
      </c>
      <c r="BC17" s="17" t="n">
        <f aca="false">IF(BC14=0,0,BC16/BC14)</f>
        <v>0.748076923076923</v>
      </c>
      <c r="BD17" s="17" t="n">
        <f aca="false">IF(BD14=0,0,BD16/BD14)</f>
        <v>0.746218319030287</v>
      </c>
      <c r="BE17" s="17" t="n">
        <f aca="false">IF(BE14=0,0,BE16/BE14)</f>
        <v>0.74745817325567</v>
      </c>
    </row>
    <row r="19" customFormat="false" ht="15" hidden="false" customHeight="false" outlineLevel="0" collapsed="false">
      <c r="A19" s="21" t="s">
        <v>33</v>
      </c>
    </row>
    <row r="20" customFormat="false" ht="15" hidden="false" customHeight="false" outlineLevel="0" collapsed="false">
      <c r="A20" s="10" t="s">
        <v>34</v>
      </c>
      <c r="B20" s="11" t="s">
        <v>23</v>
      </c>
      <c r="C20" s="12" t="n">
        <v>1061</v>
      </c>
      <c r="D20" s="12" t="n">
        <v>1126</v>
      </c>
      <c r="E20" s="12" t="n">
        <v>1234</v>
      </c>
      <c r="F20" s="12" t="n">
        <v>1405</v>
      </c>
      <c r="G20" s="13" t="n">
        <f aca="false">C20+D20+E20+F20</f>
        <v>4826</v>
      </c>
      <c r="H20" s="12" t="n">
        <v>1430</v>
      </c>
      <c r="I20" s="12" t="n">
        <v>1573</v>
      </c>
      <c r="J20" s="12" t="n">
        <v>1672</v>
      </c>
      <c r="K20" s="12" t="n">
        <v>1866</v>
      </c>
      <c r="L20" s="13" t="n">
        <f aca="false">H20+I20+J20+K20</f>
        <v>6541</v>
      </c>
      <c r="M20" s="12" t="n">
        <v>1790</v>
      </c>
      <c r="N20" s="12" t="n">
        <v>1931</v>
      </c>
      <c r="O20" s="12" t="n">
        <v>2053</v>
      </c>
      <c r="P20" s="12" t="n">
        <v>2377</v>
      </c>
      <c r="Q20" s="13" t="n">
        <f aca="false">M20+N20+O20+P20</f>
        <v>8151</v>
      </c>
      <c r="R20" s="12" t="n">
        <v>2479</v>
      </c>
      <c r="S20" s="12" t="n">
        <v>2739</v>
      </c>
      <c r="T20" s="12" t="n">
        <v>3034</v>
      </c>
      <c r="U20" s="12" t="n">
        <v>3311</v>
      </c>
      <c r="V20" s="13" t="n">
        <f aca="false">R20+S20+T20+U20</f>
        <v>11563</v>
      </c>
      <c r="W20" s="12" t="n">
        <v>3175</v>
      </c>
      <c r="X20" s="12" t="n">
        <v>3482</v>
      </c>
      <c r="Y20" s="12" t="n">
        <v>3716</v>
      </c>
      <c r="Z20" s="12" t="n">
        <v>4197</v>
      </c>
      <c r="AA20" s="13" t="n">
        <f aca="false">W20+X20+Y20+Z20</f>
        <v>14570</v>
      </c>
      <c r="AB20" s="12" t="n">
        <v>4167</v>
      </c>
      <c r="AC20" s="12" t="n">
        <v>4477</v>
      </c>
      <c r="AD20" s="12" t="n">
        <v>4752</v>
      </c>
      <c r="AE20" s="12" t="n">
        <v>5199</v>
      </c>
      <c r="AF20" s="13" t="n">
        <f aca="false">AB20+AC20+AD20+AE20</f>
        <v>18595</v>
      </c>
      <c r="AG20" s="12" t="n">
        <v>5481</v>
      </c>
      <c r="AH20" s="12" t="n">
        <v>5822</v>
      </c>
      <c r="AI20" s="12" t="n">
        <v>6212</v>
      </c>
      <c r="AJ20" s="12" t="n">
        <v>6997</v>
      </c>
      <c r="AK20" s="13" t="n">
        <f aca="false">AG20+AH20+AI20+AJ20</f>
        <v>24512</v>
      </c>
      <c r="AL20" s="12" t="n">
        <v>7300</v>
      </c>
      <c r="AM20" s="12" t="n">
        <v>8063</v>
      </c>
      <c r="AN20" s="12" t="n">
        <v>9171</v>
      </c>
      <c r="AO20" s="12" t="n">
        <v>8936</v>
      </c>
      <c r="AP20" s="13" t="n">
        <f aca="false">AL20+AM20+AN20+AO20</f>
        <v>33470</v>
      </c>
      <c r="AQ20" s="12" t="n">
        <v>8629</v>
      </c>
      <c r="AR20" s="12" t="n">
        <v>8914</v>
      </c>
      <c r="AS20" s="12" t="n">
        <v>9222</v>
      </c>
      <c r="AT20" s="12" t="n">
        <v>10208</v>
      </c>
      <c r="AU20" s="13" t="n">
        <f aca="false">AQ20+AR20+AS20+AT20</f>
        <v>36973</v>
      </c>
      <c r="AV20" s="12" t="n">
        <v>9979</v>
      </c>
      <c r="AW20" s="12" t="n">
        <v>10949</v>
      </c>
      <c r="AX20" s="12" t="n">
        <v>11178</v>
      </c>
      <c r="AY20" s="12" t="n">
        <v>12263</v>
      </c>
      <c r="AZ20" s="13" t="n">
        <f aca="false">AV20+AW20+AX20+AY20</f>
        <v>44369</v>
      </c>
      <c r="BA20" s="12" t="n">
        <v>12300</v>
      </c>
      <c r="BB20" s="12" t="n">
        <v>13100</v>
      </c>
      <c r="BC20" s="12" t="n">
        <v>13800</v>
      </c>
      <c r="BD20" s="12" t="n">
        <v>15100</v>
      </c>
      <c r="BE20" s="13" t="n">
        <f aca="false">BA20+BB20+BC20+BD20</f>
        <v>54300</v>
      </c>
    </row>
    <row r="21" customFormat="false" ht="15" hidden="false" customHeight="false" outlineLevel="0" collapsed="false">
      <c r="A21" s="16" t="s">
        <v>35</v>
      </c>
      <c r="B21" s="11" t="s">
        <v>27</v>
      </c>
      <c r="C21" s="17" t="n">
        <f aca="false">IF(C14=0,0,C20/C14)</f>
        <v>0.299463731301157</v>
      </c>
      <c r="D21" s="17" t="n">
        <f aca="false">IF(D14=0,0,D20/D14)</f>
        <v>0.278574962889659</v>
      </c>
      <c r="E21" s="17" t="n">
        <f aca="false">IF(E14=0,0,E20/E14)</f>
        <v>0.274161297489447</v>
      </c>
      <c r="F21" s="17" t="n">
        <f aca="false">IF(F14=0,0,F20/F14)</f>
        <v>0.240541003252868</v>
      </c>
      <c r="G21" s="17" t="n">
        <f aca="false">IF(G14=0,0,G20/G14)</f>
        <v>0.269202878339934</v>
      </c>
      <c r="H21" s="17" t="n">
        <f aca="false">IF(H14=0,0,H20/H14)</f>
        <v>0.265700483091787</v>
      </c>
      <c r="I21" s="17" t="n">
        <f aca="false">IF(I14=0,0,I20/I14)</f>
        <v>0.244406463642014</v>
      </c>
      <c r="J21" s="17" t="n">
        <f aca="false">IF(J14=0,0,J20/J14)</f>
        <v>0.238482384823848</v>
      </c>
      <c r="K21" s="17" t="n">
        <f aca="false">IF(K14=0,0,K20/K14)</f>
        <v>0.211828811442843</v>
      </c>
      <c r="L21" s="17" t="n">
        <f aca="false">IF(L14=0,0,L20/L14)</f>
        <v>0.236666907880454</v>
      </c>
      <c r="M21" s="17" t="n">
        <f aca="false">IF(M14=0,0,M20/M14)</f>
        <v>0.222858565737052</v>
      </c>
      <c r="N21" s="17" t="n">
        <f aca="false">IF(N14=0,0,N20/N14)</f>
        <v>0.207166613024354</v>
      </c>
      <c r="O21" s="17" t="n">
        <f aca="false">IF(O14=0,0,O20/O14)</f>
        <v>0.198780015491867</v>
      </c>
      <c r="P21" s="17" t="n">
        <f aca="false">IF(P14=0,0,P20/P14)</f>
        <v>0.183240826395313</v>
      </c>
      <c r="Q21" s="17" t="n">
        <f aca="false">IF(Q14=0,0,Q20/Q14)</f>
        <v>0.200501807984651</v>
      </c>
      <c r="R21" s="17" t="n">
        <f aca="false">IF(R14=0,0,R20/R14)</f>
        <v>0.207170315895036</v>
      </c>
      <c r="S21" s="17" t="n">
        <f aca="false">IF(S14=0,0,S20/S14)</f>
        <v>0.207013831154108</v>
      </c>
      <c r="T21" s="17" t="n">
        <f aca="false">IF(T14=0,0,T20/T14)</f>
        <v>0.221024258760108</v>
      </c>
      <c r="U21" s="17" t="n">
        <f aca="false">IF(U14=0,0,U20/U14)</f>
        <v>0.195754995861417</v>
      </c>
      <c r="V21" s="17" t="n">
        <f aca="false">IF(V14=0,0,V20/V14)</f>
        <v>0.207081199183352</v>
      </c>
      <c r="W21" s="17" t="n">
        <f aca="false">IF(W14=0,0,W20/W14)</f>
        <v>0.210585660277243</v>
      </c>
      <c r="X21" s="17" t="n">
        <f aca="false">IF(X14=0,0,X20/X14)</f>
        <v>0.206206324766078</v>
      </c>
      <c r="Y21" s="17" t="n">
        <f aca="false">IF(Y14=0,0,Y20/Y14)</f>
        <v>0.210514389304328</v>
      </c>
      <c r="Z21" s="17" t="n">
        <f aca="false">IF(Z14=0,0,Z20/Z14)</f>
        <v>0.199079783701736</v>
      </c>
      <c r="AA21" s="17" t="n">
        <f aca="false">IF(AA14=0,0,AA20/AA14)</f>
        <v>0.206090781787063</v>
      </c>
      <c r="AB21" s="17" t="n">
        <f aca="false">IF(AB14=0,0,AB20/AB14)</f>
        <v>0.234932626712522</v>
      </c>
      <c r="AC21" s="17" t="n">
        <f aca="false">IF(AC14=0,0,AC20/AC14)</f>
        <v>0.239578316476695</v>
      </c>
      <c r="AD21" s="17" t="n">
        <f aca="false">IF(AD14=0,0,AD20/AD14)</f>
        <v>0.221332091290172</v>
      </c>
      <c r="AE21" s="17" t="n">
        <f aca="false">IF(AE14=0,0,AE20/AE14)</f>
        <v>0.185202336848105</v>
      </c>
      <c r="AF21" s="17" t="n">
        <f aca="false">IF(AF14=0,0,AF20/AF14)</f>
        <v>0.216306446734756</v>
      </c>
      <c r="AG21" s="17" t="n">
        <f aca="false">IF(AG14=0,0,AG20/AG14)</f>
        <v>0.209430285430438</v>
      </c>
      <c r="AH21" s="17" t="n">
        <f aca="false">IF(AH14=0,0,AH20/AH14)</f>
        <v>0.200226983526499</v>
      </c>
      <c r="AI21" s="17" t="n">
        <f aca="false">IF(AI14=0,0,AI20/AI14)</f>
        <v>0.214133057566356</v>
      </c>
      <c r="AJ21" s="17" t="n">
        <f aca="false">IF(AJ14=0,0,AJ20/AJ14)</f>
        <v>0.207804935998337</v>
      </c>
      <c r="AK21" s="17" t="n">
        <f aca="false">IF(AK14=0,0,AK20/AK14)</f>
        <v>0.207853878180939</v>
      </c>
      <c r="AL21" s="17" t="n">
        <f aca="false">IF(AL14=0,0,AL20/AL14)</f>
        <v>0.261573742296116</v>
      </c>
      <c r="AM21" s="17" t="n">
        <f aca="false">IF(AM14=0,0,AM20/AM14)</f>
        <v>0.279751578655194</v>
      </c>
      <c r="AN21" s="17" t="n">
        <f aca="false">IF(AN14=0,0,AN20/AN14)</f>
        <v>0.330915782636934</v>
      </c>
      <c r="AO21" s="17" t="n">
        <f aca="false">IF(AO14=0,0,AO20/AO14)</f>
        <v>0.277817503497591</v>
      </c>
      <c r="AP21" s="17" t="n">
        <f aca="false">IF(AP14=0,0,AP20/AP14)</f>
        <v>0.28702758792203</v>
      </c>
      <c r="AQ21" s="17" t="n">
        <f aca="false">IF(AQ14=0,0,AQ20/AQ14)</f>
        <v>0.301239308779892</v>
      </c>
      <c r="AR21" s="17" t="n">
        <f aca="false">IF(AR14=0,0,AR20/AR14)</f>
        <v>0.278571205350167</v>
      </c>
      <c r="AS21" s="17" t="n">
        <f aca="false">IF(AS14=0,0,AS20/AS14)</f>
        <v>0.270075557898436</v>
      </c>
      <c r="AT21" s="17" t="n">
        <f aca="false">IF(AT14=0,0,AT20/AT14)</f>
        <v>0.254493779761163</v>
      </c>
      <c r="AU21" s="17" t="n">
        <f aca="false">IF(AU14=0,0,AU20/AU14)</f>
        <v>0.274075062453206</v>
      </c>
      <c r="AV21" s="17" t="n">
        <f aca="false">IF(AV14=0,0,AV20/AV14)</f>
        <v>0.273734741462077</v>
      </c>
      <c r="AW21" s="17" t="n">
        <f aca="false">IF(AW14=0,0,AW20/AW14)</f>
        <v>0.280233421207545</v>
      </c>
      <c r="AX21" s="17" t="n">
        <f aca="false">IF(AX14=0,0,AX20/AX14)</f>
        <v>0.275394811402104</v>
      </c>
      <c r="AY21" s="17" t="n">
        <f aca="false">IF(AY14=0,0,AY20/AY14)</f>
        <v>0.253446316007027</v>
      </c>
      <c r="AZ21" s="17" t="n">
        <f aca="false">IF(AZ14=0,0,AZ20/AZ14)</f>
        <v>0.269720364741641</v>
      </c>
      <c r="BA21" s="17" t="n">
        <f aca="false">IF(BA14=0,0,BA20/BA14)</f>
        <v>0.290683934395236</v>
      </c>
      <c r="BB21" s="17" t="n">
        <f aca="false">IF(BB14=0,0,BB20/BB14)</f>
        <v>0.275690805395964</v>
      </c>
      <c r="BC21" s="17" t="n">
        <f aca="false">IF(BC14=0,0,BC20/BC14)</f>
        <v>0.265384615384615</v>
      </c>
      <c r="BD21" s="17" t="n">
        <f aca="false">IF(BD14=0,0,BD20/BD14)</f>
        <v>0.252112064647544</v>
      </c>
      <c r="BE21" s="17" t="n">
        <f aca="false">IF(BE14=0,0,BE20/BE14)</f>
        <v>0.269178336844714</v>
      </c>
    </row>
    <row r="22" customFormat="false" ht="15" hidden="false" customHeight="false" outlineLevel="0" collapsed="false">
      <c r="A22" s="10" t="s">
        <v>36</v>
      </c>
      <c r="B22" s="11" t="s">
        <v>23</v>
      </c>
      <c r="C22" s="12" t="n">
        <v>878</v>
      </c>
      <c r="D22" s="12" t="n">
        <v>924</v>
      </c>
      <c r="E22" s="12" t="n">
        <v>1017</v>
      </c>
      <c r="F22" s="12" t="n">
        <v>1227</v>
      </c>
      <c r="G22" s="13" t="n">
        <f aca="false">C22+D22+E22+F22</f>
        <v>4046</v>
      </c>
      <c r="H22" s="12" t="n">
        <v>1202</v>
      </c>
      <c r="I22" s="12" t="n">
        <v>1358</v>
      </c>
      <c r="J22" s="12" t="n">
        <v>1407</v>
      </c>
      <c r="K22" s="12" t="n">
        <v>1675</v>
      </c>
      <c r="L22" s="13" t="n">
        <f aca="false">H22+I22+J22+K22</f>
        <v>5642</v>
      </c>
      <c r="M22" s="12" t="n">
        <v>1502</v>
      </c>
      <c r="N22" s="12" t="n">
        <v>1647</v>
      </c>
      <c r="O22" s="12" t="n">
        <v>1758</v>
      </c>
      <c r="P22" s="12" t="n">
        <v>2364</v>
      </c>
      <c r="Q22" s="13" t="n">
        <f aca="false">M22+N22+O22+P22</f>
        <v>7271</v>
      </c>
      <c r="R22" s="12" t="n">
        <v>2438</v>
      </c>
      <c r="S22" s="12" t="n">
        <v>2753</v>
      </c>
      <c r="T22" s="12" t="n">
        <v>3384</v>
      </c>
      <c r="U22" s="12" t="n">
        <v>3970</v>
      </c>
      <c r="V22" s="13" t="n">
        <f aca="false">R22+S22+T22+U22</f>
        <v>12545</v>
      </c>
      <c r="W22" s="12" t="n">
        <v>4399</v>
      </c>
      <c r="X22" s="12" t="n">
        <v>5184</v>
      </c>
      <c r="Y22" s="12" t="n">
        <v>3746</v>
      </c>
      <c r="Z22" s="12" t="n">
        <v>4614</v>
      </c>
      <c r="AA22" s="13" t="n">
        <f aca="false">W22+X22+Y22+Z22</f>
        <v>17943</v>
      </c>
      <c r="AB22" s="12" t="n">
        <v>3987</v>
      </c>
      <c r="AC22" s="12" t="n">
        <v>3884</v>
      </c>
      <c r="AD22" s="12" t="n">
        <v>4116</v>
      </c>
      <c r="AE22" s="12" t="n">
        <v>5261</v>
      </c>
      <c r="AF22" s="13" t="n">
        <f aca="false">AB22+AC22+AD22+AE22</f>
        <v>17248</v>
      </c>
      <c r="AG22" s="12" t="n">
        <v>4623</v>
      </c>
      <c r="AH22" s="12" t="n">
        <v>4932</v>
      </c>
      <c r="AI22" s="12" t="n">
        <v>5356</v>
      </c>
      <c r="AJ22" s="12" t="n">
        <v>6122</v>
      </c>
      <c r="AK22" s="13" t="n">
        <f aca="false">AG22+AH22+AI22+AJ22</f>
        <v>21033</v>
      </c>
      <c r="AL22" s="12" t="n">
        <v>5544</v>
      </c>
      <c r="AM22" s="12" t="n">
        <v>5583</v>
      </c>
      <c r="AN22" s="12" t="n">
        <v>5598</v>
      </c>
      <c r="AO22" s="12" t="n">
        <v>6261</v>
      </c>
      <c r="AP22" s="13" t="n">
        <f aca="false">AL22+AM22+AN22+AO22</f>
        <v>22986</v>
      </c>
      <c r="AQ22" s="12" t="n">
        <v>4882</v>
      </c>
      <c r="AR22" s="12" t="n">
        <v>4503</v>
      </c>
      <c r="AS22" s="12" t="n">
        <v>4569</v>
      </c>
      <c r="AT22" s="12" t="n">
        <v>5199</v>
      </c>
      <c r="AU22" s="13" t="n">
        <f aca="false">AQ22+AR22+AS22+AT22</f>
        <v>19153</v>
      </c>
      <c r="AV22" s="12" t="n">
        <v>4700</v>
      </c>
      <c r="AW22" s="12" t="n">
        <v>4939</v>
      </c>
      <c r="AX22" s="12" t="n">
        <v>4887</v>
      </c>
      <c r="AY22" s="12" t="n">
        <v>5686</v>
      </c>
      <c r="AZ22" s="13" t="n">
        <f aca="false">AV22+AW22+AX22+AY22</f>
        <v>20212</v>
      </c>
      <c r="BA22" s="12" t="n">
        <v>5287</v>
      </c>
      <c r="BB22" s="12" t="n">
        <v>5650</v>
      </c>
      <c r="BC22" s="12" t="n">
        <v>6050</v>
      </c>
      <c r="BD22" s="12" t="n">
        <v>6900</v>
      </c>
      <c r="BE22" s="13" t="n">
        <f aca="false">BA22+BB22+BC22+BD22</f>
        <v>23887</v>
      </c>
    </row>
    <row r="23" customFormat="false" ht="15" hidden="false" customHeight="false" outlineLevel="0" collapsed="false">
      <c r="A23" s="16" t="s">
        <v>35</v>
      </c>
      <c r="B23" s="11" t="s">
        <v>27</v>
      </c>
      <c r="C23" s="17" t="n">
        <f aca="false">IF(C14=0,0,C22/C14)</f>
        <v>0.247812588202089</v>
      </c>
      <c r="D23" s="17" t="n">
        <f aca="false">IF(D14=0,0,D22/D14)</f>
        <v>0.228599703117269</v>
      </c>
      <c r="E23" s="17" t="n">
        <f aca="false">IF(E14=0,0,E22/E14)</f>
        <v>0.225949788935792</v>
      </c>
      <c r="F23" s="17" t="n">
        <f aca="false">IF(F14=0,0,F22/F14)</f>
        <v>0.210066769388803</v>
      </c>
      <c r="G23" s="17" t="n">
        <f aca="false">IF(G14=0,0,G22/G14)</f>
        <v>0.225693088637251</v>
      </c>
      <c r="H23" s="17" t="n">
        <f aca="false">IF(H14=0,0,H22/H14)</f>
        <v>0.223337049424006</v>
      </c>
      <c r="I23" s="17" t="n">
        <f aca="false">IF(I14=0,0,I22/I14)</f>
        <v>0.21100062150404</v>
      </c>
      <c r="J23" s="17" t="n">
        <f aca="false">IF(J14=0,0,J22/J14)</f>
        <v>0.200684638425332</v>
      </c>
      <c r="K23" s="17" t="n">
        <f aca="false">IF(K14=0,0,K22/K14)</f>
        <v>0.190146441139743</v>
      </c>
      <c r="L23" s="17" t="n">
        <f aca="false">IF(L14=0,0,L22/L14)</f>
        <v>0.204139228598307</v>
      </c>
      <c r="M23" s="17" t="n">
        <f aca="false">IF(M14=0,0,M22/M14)</f>
        <v>0.187001992031873</v>
      </c>
      <c r="N23" s="17" t="n">
        <f aca="false">IF(N14=0,0,N22/N14)</f>
        <v>0.176697779208239</v>
      </c>
      <c r="O23" s="17" t="n">
        <f aca="false">IF(O14=0,0,O22/O14)</f>
        <v>0.170216886134779</v>
      </c>
      <c r="P23" s="17" t="n">
        <f aca="false">IF(P14=0,0,P22/P14)</f>
        <v>0.182238667900093</v>
      </c>
      <c r="Q23" s="17" t="n">
        <f aca="false">IF(Q14=0,0,Q22/Q14)</f>
        <v>0.178855189038939</v>
      </c>
      <c r="R23" s="17" t="n">
        <f aca="false">IF(R14=0,0,R22/R14)</f>
        <v>0.203743941166639</v>
      </c>
      <c r="S23" s="17" t="n">
        <f aca="false">IF(S14=0,0,S22/S14)</f>
        <v>0.208071952233391</v>
      </c>
      <c r="T23" s="17" t="n">
        <f aca="false">IF(T14=0,0,T22/T14)</f>
        <v>0.246521454068624</v>
      </c>
      <c r="U23" s="17" t="n">
        <f aca="false">IF(U14=0,0,U22/U14)</f>
        <v>0.234716802648693</v>
      </c>
      <c r="V23" s="17" t="n">
        <f aca="false">IF(V14=0,0,V22/V14)</f>
        <v>0.224667788960923</v>
      </c>
      <c r="W23" s="17" t="n">
        <f aca="false">IF(W14=0,0,W22/W14)</f>
        <v>0.291768919546329</v>
      </c>
      <c r="X23" s="17" t="n">
        <f aca="false">IF(X14=0,0,X22/X14)</f>
        <v>0.306999881558688</v>
      </c>
      <c r="Y23" s="17" t="n">
        <f aca="false">IF(Y14=0,0,Y22/Y14)</f>
        <v>0.212213913437571</v>
      </c>
      <c r="Z23" s="17" t="n">
        <f aca="false">IF(Z14=0,0,Z22/Z14)</f>
        <v>0.21885969073143</v>
      </c>
      <c r="AA23" s="17" t="n">
        <f aca="false">IF(AA14=0,0,AA22/AA14)</f>
        <v>0.253801434289998</v>
      </c>
      <c r="AB23" s="17" t="n">
        <f aca="false">IF(AB14=0,0,AB22/AB14)</f>
        <v>0.22478434910075</v>
      </c>
      <c r="AC23" s="17" t="n">
        <f aca="false">IF(AC14=0,0,AC22/AC14)</f>
        <v>0.207845025953872</v>
      </c>
      <c r="AD23" s="17" t="n">
        <f aca="false">IF(AD14=0,0,AD22/AD14)</f>
        <v>0.191709361900326</v>
      </c>
      <c r="AE23" s="17" t="n">
        <f aca="false">IF(AE14=0,0,AE22/AE14)</f>
        <v>0.187410943288686</v>
      </c>
      <c r="AF23" s="17" t="n">
        <f aca="false">IF(AF14=0,0,AF22/AF14)</f>
        <v>0.200637461321918</v>
      </c>
      <c r="AG23" s="17" t="n">
        <f aca="false">IF(AG14=0,0,AG22/AG14)</f>
        <v>0.176645905773566</v>
      </c>
      <c r="AH23" s="17" t="n">
        <f aca="false">IF(AH14=0,0,AH22/AH14)</f>
        <v>0.169618598892596</v>
      </c>
      <c r="AI23" s="17" t="n">
        <f aca="false">IF(AI14=0,0,AI22/AI14)</f>
        <v>0.184625991037573</v>
      </c>
      <c r="AJ23" s="17" t="n">
        <f aca="false">IF(AJ14=0,0,AJ22/AJ14)</f>
        <v>0.181818181818182</v>
      </c>
      <c r="AK23" s="17" t="n">
        <f aca="false">IF(AK14=0,0,AK22/AK14)</f>
        <v>0.178353076851326</v>
      </c>
      <c r="AL23" s="17" t="n">
        <f aca="false">IF(AL14=0,0,AL22/AL14)</f>
        <v>0.198652716067078</v>
      </c>
      <c r="AM23" s="17" t="n">
        <f aca="false">IF(AM14=0,0,AM22/AM14)</f>
        <v>0.193706196655333</v>
      </c>
      <c r="AN23" s="17" t="n">
        <f aca="false">IF(AN14=0,0,AN22/AN14)</f>
        <v>0.201991773111063</v>
      </c>
      <c r="AO23" s="17" t="n">
        <f aca="false">IF(AO14=0,0,AO22/AO14)</f>
        <v>0.194652572672159</v>
      </c>
      <c r="AP23" s="17" t="n">
        <f aca="false">IF(AP14=0,0,AP22/AP14)</f>
        <v>0.197120290886638</v>
      </c>
      <c r="AQ23" s="17" t="n">
        <f aca="false">IF(AQ14=0,0,AQ22/AQ14)</f>
        <v>0.170431139814976</v>
      </c>
      <c r="AR23" s="17" t="n">
        <f aca="false">IF(AR14=0,0,AR22/AR14)</f>
        <v>0.140723147598362</v>
      </c>
      <c r="AS23" s="17" t="n">
        <f aca="false">IF(AS14=0,0,AS22/AS14)</f>
        <v>0.133807766649095</v>
      </c>
      <c r="AT23" s="17" t="n">
        <f aca="false">IF(AT14=0,0,AT22/AT14)</f>
        <v>0.129615317493954</v>
      </c>
      <c r="AU23" s="17" t="n">
        <f aca="false">IF(AU14=0,0,AU22/AU14)</f>
        <v>0.141978191414445</v>
      </c>
      <c r="AV23" s="17" t="n">
        <f aca="false">IF(AV14=0,0,AV22/AV14)</f>
        <v>0.128926073240982</v>
      </c>
      <c r="AW23" s="17" t="n">
        <f aca="false">IF(AW14=0,0,AW22/AW14)</f>
        <v>0.126410892989685</v>
      </c>
      <c r="AX23" s="17" t="n">
        <f aca="false">IF(AX14=0,0,AX22/AX14)</f>
        <v>0.120402079381113</v>
      </c>
      <c r="AY23" s="17" t="n">
        <f aca="false">IF(AY14=0,0,AY22/AY14)</f>
        <v>0.117515759016224</v>
      </c>
      <c r="AZ23" s="17" t="n">
        <f aca="false">IF(AZ14=0,0,AZ22/AZ14)</f>
        <v>0.122869300911854</v>
      </c>
      <c r="BA23" s="17" t="n">
        <f aca="false">IF(BA14=0,0,BA22/BA14)</f>
        <v>0.124946826109562</v>
      </c>
      <c r="BB23" s="17" t="n">
        <f aca="false">IF(BB14=0,0,BB22/BB14)</f>
        <v>0.11890481301429</v>
      </c>
      <c r="BC23" s="17" t="n">
        <f aca="false">IF(BC14=0,0,BC22/BC14)</f>
        <v>0.116346153846154</v>
      </c>
      <c r="BD23" s="17" t="n">
        <f aca="false">IF(BD14=0,0,BD22/BD14)</f>
        <v>0.115203526229672</v>
      </c>
      <c r="BE23" s="17" t="n">
        <f aca="false">IF(BE14=0,0,BE22/BE14)</f>
        <v>0.118413681992812</v>
      </c>
    </row>
    <row r="24" customFormat="false" ht="15" hidden="false" customHeight="false" outlineLevel="0" collapsed="false">
      <c r="A24" s="14" t="s">
        <v>37</v>
      </c>
      <c r="B24" s="11" t="s">
        <v>23</v>
      </c>
      <c r="C24" s="20" t="n">
        <f aca="false">+C15+C20+C22</f>
        <v>2632</v>
      </c>
      <c r="D24" s="20" t="n">
        <f aca="false">+D15+D20+D22</f>
        <v>2808</v>
      </c>
      <c r="E24" s="20" t="n">
        <f aca="false">+E15+E20+E22</f>
        <v>3077</v>
      </c>
      <c r="F24" s="20" t="n">
        <f aca="false">+F15+F20+F22</f>
        <v>3561</v>
      </c>
      <c r="G24" s="20" t="n">
        <f aca="false">+G15+G20+G22</f>
        <v>12078</v>
      </c>
      <c r="H24" s="20" t="n">
        <f aca="false">+H15+H20+H22</f>
        <v>3603</v>
      </c>
      <c r="I24" s="20" t="n">
        <f aca="false">+I15+I20+I22</f>
        <v>4020</v>
      </c>
      <c r="J24" s="20" t="n">
        <f aca="false">+J15+J20+J22</f>
        <v>4327</v>
      </c>
      <c r="K24" s="20" t="n">
        <f aca="false">+K15+K20+K22</f>
        <v>5066</v>
      </c>
      <c r="L24" s="20" t="n">
        <f aca="false">+L15+L20+L22</f>
        <v>17016</v>
      </c>
      <c r="M24" s="20" t="n">
        <f aca="false">+M15+M20+M22</f>
        <v>4867</v>
      </c>
      <c r="N24" s="20" t="n">
        <f aca="false">+N15+N20+N22</f>
        <v>5316</v>
      </c>
      <c r="O24" s="20" t="n">
        <f aca="false">+O15+O20+O22</f>
        <v>5704</v>
      </c>
      <c r="P24" s="20" t="n">
        <f aca="false">+P15+P20+P22</f>
        <v>7041</v>
      </c>
      <c r="Q24" s="20" t="n">
        <f aca="false">+Q15+Q20+Q22</f>
        <v>22928</v>
      </c>
      <c r="R24" s="20" t="n">
        <f aca="false">+R15+R20+R22</f>
        <v>7209</v>
      </c>
      <c r="S24" s="20" t="n">
        <f aca="false">+S15+S20+S22</f>
        <v>8056</v>
      </c>
      <c r="T24" s="20" t="n">
        <f aca="false">+T15+T20+T22</f>
        <v>9143</v>
      </c>
      <c r="U24" s="20" t="n">
        <f aca="false">+U15+U20+U22</f>
        <v>10435</v>
      </c>
      <c r="V24" s="20" t="n">
        <f aca="false">+V15+V20+V22</f>
        <v>34843</v>
      </c>
      <c r="W24" s="20" t="n">
        <f aca="false">+W15+W20+W22</f>
        <v>10655</v>
      </c>
      <c r="X24" s="20" t="n">
        <f aca="false">+X15+X20+X22</f>
        <v>11934</v>
      </c>
      <c r="Y24" s="20" t="n">
        <f aca="false">+Y15+Y20+Y22</f>
        <v>11053</v>
      </c>
      <c r="Z24" s="20" t="n">
        <f aca="false">+Z15+Z20+Z22</f>
        <v>12928</v>
      </c>
      <c r="AA24" s="20" t="n">
        <f aca="false">+AA15+AA20+AA22</f>
        <v>46570</v>
      </c>
      <c r="AB24" s="20" t="n">
        <f aca="false">+AB15+AB20+AB22</f>
        <v>12068</v>
      </c>
      <c r="AC24" s="20" t="n">
        <f aca="false">+AC15+AC20+AC22</f>
        <v>12211</v>
      </c>
      <c r="AD24" s="20" t="n">
        <f aca="false">+AD15+AD20+AD22</f>
        <v>12971</v>
      </c>
      <c r="AE24" s="20" t="n">
        <f aca="false">+AE15+AE20+AE22</f>
        <v>15366</v>
      </c>
      <c r="AF24" s="20" t="n">
        <f aca="false">+AF15+AF20+AF22</f>
        <v>52616</v>
      </c>
      <c r="AG24" s="20" t="n">
        <f aca="false">+AG15+AG20+AG22</f>
        <v>15000</v>
      </c>
      <c r="AH24" s="20" t="n">
        <f aca="false">+AH15+AH20+AH22</f>
        <v>16012</v>
      </c>
      <c r="AI24" s="20" t="n">
        <f aca="false">+AI15+AI20+AI22</f>
        <v>17228</v>
      </c>
      <c r="AJ24" s="20" t="n">
        <f aca="false">+AJ15+AJ20+AJ22</f>
        <v>20187</v>
      </c>
      <c r="AK24" s="20" t="n">
        <f aca="false">+AK15+AK20+AK22</f>
        <v>68427</v>
      </c>
      <c r="AL24" s="20" t="n">
        <f aca="false">+AL15+AL20+AL22</f>
        <v>20110</v>
      </c>
      <c r="AM24" s="20" t="n">
        <f aca="false">+AM15+AM20+AM22</f>
        <v>21337</v>
      </c>
      <c r="AN24" s="20" t="n">
        <f aca="false">+AN15+AN20+AN22</f>
        <v>22898</v>
      </c>
      <c r="AO24" s="20" t="n">
        <f aca="false">+AO15+AO20+AO22</f>
        <v>23900</v>
      </c>
      <c r="AP24" s="20" t="n">
        <f aca="false">+AP15+AP20+AP22</f>
        <v>88245</v>
      </c>
      <c r="AQ24" s="20" t="n">
        <f aca="false">+AQ15+AQ20+AQ22</f>
        <v>20840</v>
      </c>
      <c r="AR24" s="20" t="n">
        <f aca="false">+AR15+AR20+AR22</f>
        <v>20679</v>
      </c>
      <c r="AS24" s="20" t="n">
        <f aca="false">+AS15+AS20+AS22</f>
        <v>21101</v>
      </c>
      <c r="AT24" s="20" t="n">
        <f aca="false">+AT15+AT20+AT22</f>
        <v>23696</v>
      </c>
      <c r="AU24" s="20" t="n">
        <f aca="false">+AU15+AU20+AU22</f>
        <v>86316</v>
      </c>
      <c r="AV24" s="20" t="n">
        <f aca="false">+AV15+AV20+AV22</f>
        <v>22263</v>
      </c>
      <c r="AW24" s="20" t="n">
        <f aca="false">+AW15+AW20+AW22</f>
        <v>24233</v>
      </c>
      <c r="AX24" s="20" t="n">
        <f aca="false">+AX15+AX20+AX22</f>
        <v>25362</v>
      </c>
      <c r="AY24" s="20" t="n">
        <f aca="false">+AY15+AY20+AY22</f>
        <v>29233</v>
      </c>
      <c r="AZ24" s="20" t="n">
        <f aca="false">+AZ15+AZ20+AZ22</f>
        <v>101091</v>
      </c>
      <c r="BA24" s="20" t="n">
        <f aca="false">+BA15+BA20+BA22</f>
        <v>28278</v>
      </c>
      <c r="BB24" s="20" t="n">
        <f aca="false">+BB15+BB20+BB22</f>
        <v>30703</v>
      </c>
      <c r="BC24" s="20" t="n">
        <f aca="false">+BC15+BC20+BC22</f>
        <v>32950</v>
      </c>
      <c r="BD24" s="20" t="n">
        <f aca="false">+BD15+BD20+BD22</f>
        <v>37200</v>
      </c>
      <c r="BE24" s="20" t="n">
        <f aca="false">+BE15+BE20+BE22</f>
        <v>129131</v>
      </c>
    </row>
    <row r="25" customFormat="false" ht="15" hidden="false" customHeight="false" outlineLevel="0" collapsed="false">
      <c r="A25" s="14" t="s">
        <v>38</v>
      </c>
      <c r="B25" s="11" t="s">
        <v>23</v>
      </c>
      <c r="C25" s="15" t="n">
        <f aca="false">+C14-C24</f>
        <v>911</v>
      </c>
      <c r="D25" s="15" t="n">
        <f aca="false">+D14-D24</f>
        <v>1234</v>
      </c>
      <c r="E25" s="15" t="n">
        <f aca="false">+E14-E24</f>
        <v>1424</v>
      </c>
      <c r="F25" s="15" t="n">
        <f aca="false">+F14-F24</f>
        <v>2280</v>
      </c>
      <c r="G25" s="15" t="n">
        <f aca="false">+G14-G24</f>
        <v>5849</v>
      </c>
      <c r="H25" s="15" t="n">
        <f aca="false">+H14-H24</f>
        <v>1779</v>
      </c>
      <c r="I25" s="15" t="n">
        <f aca="false">+I14-I24</f>
        <v>2416</v>
      </c>
      <c r="J25" s="15" t="n">
        <f aca="false">+J14-J24</f>
        <v>2684</v>
      </c>
      <c r="K25" s="15" t="n">
        <f aca="false">+K14-K24</f>
        <v>3743</v>
      </c>
      <c r="L25" s="15" t="n">
        <f aca="false">+L14-L24</f>
        <v>10622</v>
      </c>
      <c r="M25" s="15" t="n">
        <f aca="false">+M14-M24</f>
        <v>3165</v>
      </c>
      <c r="N25" s="15" t="n">
        <f aca="false">+N14-N24</f>
        <v>4005</v>
      </c>
      <c r="O25" s="15" t="n">
        <f aca="false">+O14-O24</f>
        <v>4624</v>
      </c>
      <c r="P25" s="15" t="n">
        <f aca="false">+P14-P24</f>
        <v>5931</v>
      </c>
      <c r="Q25" s="15" t="n">
        <f aca="false">+Q14-Q24</f>
        <v>17725</v>
      </c>
      <c r="R25" s="15" t="n">
        <f aca="false">+R14-R24</f>
        <v>4757</v>
      </c>
      <c r="S25" s="15" t="n">
        <f aca="false">+S14-S24</f>
        <v>5175</v>
      </c>
      <c r="T25" s="15" t="n">
        <f aca="false">+T14-T24</f>
        <v>4584</v>
      </c>
      <c r="U25" s="15" t="n">
        <f aca="false">+U14-U24</f>
        <v>6479</v>
      </c>
      <c r="V25" s="15" t="n">
        <f aca="false">+V14-V24</f>
        <v>20995</v>
      </c>
      <c r="W25" s="15" t="n">
        <f aca="false">+W14-W24</f>
        <v>4422</v>
      </c>
      <c r="X25" s="15" t="n">
        <f aca="false">+X14-X24</f>
        <v>4952</v>
      </c>
      <c r="Y25" s="15" t="n">
        <f aca="false">+Y14-Y24</f>
        <v>6599</v>
      </c>
      <c r="Z25" s="15" t="n">
        <f aca="false">+Z14-Z24</f>
        <v>8154</v>
      </c>
      <c r="AA25" s="15" t="n">
        <f aca="false">+AA14-AA24</f>
        <v>24127</v>
      </c>
      <c r="AB25" s="15" t="n">
        <f aca="false">+AB14-AB24</f>
        <v>5669</v>
      </c>
      <c r="AC25" s="15" t="n">
        <f aca="false">+AC14-AC24</f>
        <v>6476</v>
      </c>
      <c r="AD25" s="15" t="n">
        <f aca="false">+AD14-AD24</f>
        <v>8499</v>
      </c>
      <c r="AE25" s="15" t="n">
        <f aca="false">+AE14-AE24</f>
        <v>12706</v>
      </c>
      <c r="AF25" s="15" t="n">
        <f aca="false">+AF14-AF24</f>
        <v>33350</v>
      </c>
      <c r="AG25" s="15" t="n">
        <f aca="false">+AG14-AG24</f>
        <v>11171</v>
      </c>
      <c r="AH25" s="15" t="n">
        <f aca="false">+AH14-AH24</f>
        <v>13065</v>
      </c>
      <c r="AI25" s="15" t="n">
        <f aca="false">+AI14-AI24</f>
        <v>11782</v>
      </c>
      <c r="AJ25" s="15" t="n">
        <f aca="false">+AJ14-AJ24</f>
        <v>13484</v>
      </c>
      <c r="AK25" s="15" t="n">
        <f aca="false">+AK14-AK24</f>
        <v>49502</v>
      </c>
      <c r="AL25" s="15" t="n">
        <f aca="false">+AL14-AL24</f>
        <v>7798</v>
      </c>
      <c r="AM25" s="15" t="n">
        <f aca="false">+AM14-AM24</f>
        <v>7485</v>
      </c>
      <c r="AN25" s="15" t="n">
        <f aca="false">+AN14-AN24</f>
        <v>4816</v>
      </c>
      <c r="AO25" s="15" t="n">
        <f aca="false">+AO14-AO24</f>
        <v>8265</v>
      </c>
      <c r="AP25" s="15" t="n">
        <f aca="false">+AP14-AP24</f>
        <v>28364</v>
      </c>
      <c r="AQ25" s="15" t="n">
        <f aca="false">+AQ14-AQ24</f>
        <v>7805</v>
      </c>
      <c r="AR25" s="15" t="n">
        <f aca="false">+AR14-AR24</f>
        <v>11320</v>
      </c>
      <c r="AS25" s="15" t="n">
        <f aca="false">+AS14-AS24</f>
        <v>13045</v>
      </c>
      <c r="AT25" s="15" t="n">
        <f aca="false">+AT14-AT24</f>
        <v>16415</v>
      </c>
      <c r="AU25" s="15" t="n">
        <f aca="false">+AU14-AU24</f>
        <v>48585</v>
      </c>
      <c r="AV25" s="15" t="n">
        <f aca="false">+AV14-AV24</f>
        <v>14192</v>
      </c>
      <c r="AW25" s="15" t="n">
        <f aca="false">+AW14-AW24</f>
        <v>14838</v>
      </c>
      <c r="AX25" s="15" t="n">
        <f aca="false">+AX14-AX24</f>
        <v>15227</v>
      </c>
      <c r="AY25" s="15" t="n">
        <f aca="false">+AY14-AY24</f>
        <v>19152</v>
      </c>
      <c r="AZ25" s="15" t="n">
        <f aca="false">+AZ14-AZ24</f>
        <v>63409</v>
      </c>
      <c r="BA25" s="15" t="n">
        <f aca="false">+BA14-BA24</f>
        <v>14036</v>
      </c>
      <c r="BB25" s="15" t="n">
        <f aca="false">+BB14-BB24</f>
        <v>16814</v>
      </c>
      <c r="BC25" s="15" t="n">
        <f aca="false">+BC14-BC24</f>
        <v>19050</v>
      </c>
      <c r="BD25" s="15" t="n">
        <f aca="false">+BD14-BD24</f>
        <v>22694</v>
      </c>
      <c r="BE25" s="15" t="n">
        <f aca="false">+BE14-BE24</f>
        <v>72594</v>
      </c>
    </row>
    <row r="26" customFormat="false" ht="15" hidden="false" customHeight="false" outlineLevel="0" collapsed="false">
      <c r="A26" s="14" t="s">
        <v>39</v>
      </c>
      <c r="B26" s="11" t="s">
        <v>27</v>
      </c>
      <c r="C26" s="22" t="n">
        <f aca="false">IF(C14=0,0,C25/C14)</f>
        <v>0.257126728760937</v>
      </c>
      <c r="D26" s="22" t="n">
        <f aca="false">IF(D14=0,0,D25/D14)</f>
        <v>0.30529440870856</v>
      </c>
      <c r="E26" s="22" t="n">
        <f aca="false">IF(E14=0,0,E25/E14)</f>
        <v>0.316374139080204</v>
      </c>
      <c r="F26" s="22" t="n">
        <f aca="false">IF(F14=0,0,F25/F14)</f>
        <v>0.390344119157678</v>
      </c>
      <c r="G26" s="22" t="n">
        <f aca="false">IF(G14=0,0,G25/G14)</f>
        <v>0.326267640988453</v>
      </c>
      <c r="H26" s="22" t="n">
        <f aca="false">IF(H14=0,0,H25/H14)</f>
        <v>0.330546265328874</v>
      </c>
      <c r="I26" s="22" t="n">
        <f aca="false">IF(I14=0,0,I25/I14)</f>
        <v>0.37538844002486</v>
      </c>
      <c r="J26" s="22" t="n">
        <f aca="false">IF(J14=0,0,J25/J14)</f>
        <v>0.382826986164599</v>
      </c>
      <c r="K26" s="22" t="n">
        <f aca="false">IF(K14=0,0,K25/K14)</f>
        <v>0.424906345782722</v>
      </c>
      <c r="L26" s="22" t="n">
        <f aca="false">IF(L14=0,0,L25/L14)</f>
        <v>0.384325928070049</v>
      </c>
      <c r="M26" s="22" t="n">
        <f aca="false">IF(M14=0,0,M25/M14)</f>
        <v>0.394048804780877</v>
      </c>
      <c r="N26" s="22" t="n">
        <f aca="false">IF(N14=0,0,N25/N14)</f>
        <v>0.429674927582877</v>
      </c>
      <c r="O26" s="22" t="n">
        <f aca="false">IF(O14=0,0,O25/O14)</f>
        <v>0.447714949651433</v>
      </c>
      <c r="P26" s="22" t="n">
        <f aca="false">IF(P14=0,0,P25/P14)</f>
        <v>0.457215541165587</v>
      </c>
      <c r="Q26" s="22" t="n">
        <f aca="false">IF(Q14=0,0,Q25/Q14)</f>
        <v>0.436007182741741</v>
      </c>
      <c r="R26" s="22" t="n">
        <f aca="false">IF(R14=0,0,R25/R14)</f>
        <v>0.397543038609393</v>
      </c>
      <c r="S26" s="22" t="n">
        <f aca="false">IF(S14=0,0,S25/S14)</f>
        <v>0.391126898949437</v>
      </c>
      <c r="T26" s="22" t="n">
        <f aca="false">IF(T14=0,0,T25/T14)</f>
        <v>0.333940409412108</v>
      </c>
      <c r="U26" s="22" t="n">
        <f aca="false">IF(U14=0,0,U25/U14)</f>
        <v>0.383055457017855</v>
      </c>
      <c r="V26" s="22" t="n">
        <f aca="false">IF(V14=0,0,V25/V14)</f>
        <v>0.375998424012321</v>
      </c>
      <c r="W26" s="22" t="n">
        <f aca="false">IF(W14=0,0,W25/W14)</f>
        <v>0.293294421967235</v>
      </c>
      <c r="X26" s="22" t="n">
        <f aca="false">IF(X14=0,0,X25/X14)</f>
        <v>0.293260689328438</v>
      </c>
      <c r="Y26" s="22" t="n">
        <f aca="false">IF(Y14=0,0,Y25/Y14)</f>
        <v>0.373838658508951</v>
      </c>
      <c r="Z26" s="22" t="n">
        <f aca="false">IF(Z14=0,0,Z25/Z14)</f>
        <v>0.386775448249692</v>
      </c>
      <c r="AA26" s="22" t="n">
        <f aca="false">IF(AA14=0,0,AA25/AA14)</f>
        <v>0.341273321357342</v>
      </c>
      <c r="AB26" s="22" t="n">
        <f aca="false">IF(AB14=0,0,AB25/AB14)</f>
        <v>0.319614365450753</v>
      </c>
      <c r="AC26" s="22" t="n">
        <f aca="false">IF(AC14=0,0,AC25/AC14)</f>
        <v>0.34655107828972</v>
      </c>
      <c r="AD26" s="22" t="n">
        <f aca="false">IF(AD14=0,0,AD25/AD14)</f>
        <v>0.395854680950163</v>
      </c>
      <c r="AE26" s="22" t="n">
        <f aca="false">IF(AE14=0,0,AE25/AE14)</f>
        <v>0.452621829581077</v>
      </c>
      <c r="AF26" s="22" t="n">
        <f aca="false">IF(AF14=0,0,AF25/AF14)</f>
        <v>0.387944070911756</v>
      </c>
      <c r="AG26" s="22" t="n">
        <f aca="false">IF(AG14=0,0,AG25/AG14)</f>
        <v>0.426846509495243</v>
      </c>
      <c r="AH26" s="22" t="n">
        <f aca="false">IF(AH14=0,0,AH25/AH14)</f>
        <v>0.449324208137016</v>
      </c>
      <c r="AI26" s="22" t="n">
        <f aca="false">IF(AI14=0,0,AI25/AI14)</f>
        <v>0.406135815236125</v>
      </c>
      <c r="AJ26" s="22" t="n">
        <f aca="false">IF(AJ14=0,0,AJ25/AJ14)</f>
        <v>0.400463306703098</v>
      </c>
      <c r="AK26" s="22" t="n">
        <f aca="false">IF(AK14=0,0,AK25/AK14)</f>
        <v>0.419761042661262</v>
      </c>
      <c r="AL26" s="22" t="n">
        <f aca="false">IF(AL14=0,0,AL25/AL14)</f>
        <v>0.27941808800344</v>
      </c>
      <c r="AM26" s="22" t="n">
        <f aca="false">IF(AM14=0,0,AM25/AM14)</f>
        <v>0.259697453334259</v>
      </c>
      <c r="AN26" s="22" t="n">
        <f aca="false">IF(AN14=0,0,AN25/AN14)</f>
        <v>0.173774987371004</v>
      </c>
      <c r="AO26" s="22" t="n">
        <f aca="false">IF(AO14=0,0,AO25/AO14)</f>
        <v>0.256956318980258</v>
      </c>
      <c r="AP26" s="22" t="n">
        <f aca="false">IF(AP14=0,0,AP25/AP14)</f>
        <v>0.243240230170913</v>
      </c>
      <c r="AQ26" s="22" t="n">
        <f aca="false">IF(AQ14=0,0,AQ25/AQ14)</f>
        <v>0.272473381043812</v>
      </c>
      <c r="AR26" s="22" t="n">
        <f aca="false">IF(AR14=0,0,AR25/AR14)</f>
        <v>0.35376105503297</v>
      </c>
      <c r="AS26" s="22" t="n">
        <f aca="false">IF(AS14=0,0,AS25/AS14)</f>
        <v>0.382035963216775</v>
      </c>
      <c r="AT26" s="22" t="n">
        <f aca="false">IF(AT14=0,0,AT25/AT14)</f>
        <v>0.409239360773853</v>
      </c>
      <c r="AU26" s="22" t="n">
        <f aca="false">IF(AU14=0,0,AU25/AU14)</f>
        <v>0.360153001089688</v>
      </c>
      <c r="AV26" s="22" t="n">
        <f aca="false">IF(AV14=0,0,AV25/AV14)</f>
        <v>0.38930187902894</v>
      </c>
      <c r="AW26" s="22" t="n">
        <f aca="false">IF(AW14=0,0,AW25/AW14)</f>
        <v>0.379770162012746</v>
      </c>
      <c r="AX26" s="22" t="n">
        <f aca="false">IF(AX14=0,0,AX25/AX14)</f>
        <v>0.375150902954002</v>
      </c>
      <c r="AY26" s="22" t="n">
        <f aca="false">IF(AY14=0,0,AY25/AY14)</f>
        <v>0.395825152423272</v>
      </c>
      <c r="AZ26" s="22" t="n">
        <f aca="false">IF(AZ14=0,0,AZ25/AZ14)</f>
        <v>0.385465045592705</v>
      </c>
      <c r="BA26" s="22" t="n">
        <f aca="false">IF(BA14=0,0,BA25/BA14)</f>
        <v>0.331710544973295</v>
      </c>
      <c r="BB26" s="22" t="n">
        <f aca="false">IF(BB14=0,0,BB25/BB14)</f>
        <v>0.353852305490667</v>
      </c>
      <c r="BC26" s="22" t="n">
        <f aca="false">IF(BC14=0,0,BC25/BC14)</f>
        <v>0.366346153846154</v>
      </c>
      <c r="BD26" s="22" t="n">
        <f aca="false">IF(BD14=0,0,BD25/BD14)</f>
        <v>0.37890272815307</v>
      </c>
      <c r="BE26" s="22" t="n">
        <f aca="false">IF(BE14=0,0,BE25/BE14)</f>
        <v>0.359866154418144</v>
      </c>
    </row>
    <row r="28" customFormat="false" ht="15" hidden="false" customHeight="false" outlineLevel="0" collapsed="false">
      <c r="A28" s="10" t="s">
        <v>40</v>
      </c>
      <c r="B28" s="11" t="s">
        <v>23</v>
      </c>
      <c r="C28" s="12" t="n">
        <v>28</v>
      </c>
      <c r="D28" s="12" t="n">
        <v>23</v>
      </c>
      <c r="E28" s="12" t="n">
        <v>16</v>
      </c>
      <c r="F28" s="12" t="n">
        <v>21</v>
      </c>
      <c r="G28" s="13" t="n">
        <f aca="false">C28+D28+E28+F28</f>
        <v>88</v>
      </c>
      <c r="H28" s="12" t="n">
        <v>26</v>
      </c>
      <c r="I28" s="12" t="n">
        <v>11</v>
      </c>
      <c r="J28" s="12" t="n">
        <v>21</v>
      </c>
      <c r="K28" s="12" t="n">
        <v>42</v>
      </c>
      <c r="L28" s="13" t="n">
        <f aca="false">H28+I28+J28+K28</f>
        <v>100</v>
      </c>
      <c r="M28" s="12" t="n">
        <v>47</v>
      </c>
      <c r="N28" s="12" t="n">
        <v>39</v>
      </c>
      <c r="O28" s="12" t="n">
        <v>25</v>
      </c>
      <c r="P28" s="12" t="n">
        <v>44</v>
      </c>
      <c r="Q28" s="13" t="n">
        <f aca="false">M28+N28+O28+P28</f>
        <v>155</v>
      </c>
      <c r="R28" s="12" t="n">
        <v>-17</v>
      </c>
      <c r="S28" s="12" t="n">
        <v>-26</v>
      </c>
      <c r="T28" s="12" t="n">
        <v>45</v>
      </c>
      <c r="U28" s="12" t="n">
        <v>-105</v>
      </c>
      <c r="V28" s="13" t="n">
        <f aca="false">R28+S28+T28+U28</f>
        <v>-103</v>
      </c>
      <c r="W28" s="12" t="n">
        <v>120</v>
      </c>
      <c r="X28" s="12" t="n">
        <v>125</v>
      </c>
      <c r="Y28" s="12" t="n">
        <v>114</v>
      </c>
      <c r="Z28" s="12" t="n">
        <v>96</v>
      </c>
      <c r="AA28" s="13" t="n">
        <f aca="false">W28+X28+Y28+Z28</f>
        <v>455</v>
      </c>
      <c r="AB28" s="12" t="n">
        <v>104</v>
      </c>
      <c r="AC28" s="12" t="n">
        <v>169</v>
      </c>
      <c r="AD28" s="12" t="n">
        <v>55</v>
      </c>
      <c r="AE28" s="12" t="n">
        <v>85</v>
      </c>
      <c r="AF28" s="13" t="n">
        <f aca="false">AB28+AC28+AD28+AE28</f>
        <v>413</v>
      </c>
      <c r="AG28" s="12" t="n">
        <v>140</v>
      </c>
      <c r="AH28" s="12" t="n">
        <v>117</v>
      </c>
      <c r="AI28" s="12" t="n">
        <v>60</v>
      </c>
      <c r="AJ28" s="12" t="n">
        <v>-39</v>
      </c>
      <c r="AK28" s="13" t="n">
        <f aca="false">AG28+AH28+AI28+AJ28</f>
        <v>278</v>
      </c>
      <c r="AL28" s="12" t="n">
        <v>-102</v>
      </c>
      <c r="AM28" s="12" t="n">
        <v>-120</v>
      </c>
      <c r="AN28" s="12" t="n">
        <v>-23</v>
      </c>
      <c r="AO28" s="12" t="n">
        <v>42</v>
      </c>
      <c r="AP28" s="13" t="n">
        <f aca="false">AL28+AM28+AN28+AO28</f>
        <v>-203</v>
      </c>
      <c r="AQ28" s="12" t="n">
        <v>105</v>
      </c>
      <c r="AR28" s="12" t="n">
        <v>201</v>
      </c>
      <c r="AS28" s="12" t="n">
        <v>67</v>
      </c>
      <c r="AT28" s="12" t="n">
        <v>434</v>
      </c>
      <c r="AU28" s="13" t="n">
        <f aca="false">AQ28+AR28+AS28+AT28</f>
        <v>807</v>
      </c>
      <c r="AV28" s="12" t="n">
        <v>263</v>
      </c>
      <c r="AW28" s="12" t="n">
        <v>343</v>
      </c>
      <c r="AX28" s="12" t="n">
        <v>270</v>
      </c>
      <c r="AY28" s="12" t="n">
        <v>368</v>
      </c>
      <c r="AZ28" s="13" t="n">
        <f aca="false">AV28+AW28+AX28+AY28</f>
        <v>1244</v>
      </c>
      <c r="BA28" s="12" t="n">
        <v>310</v>
      </c>
      <c r="BB28" s="12" t="n">
        <v>295</v>
      </c>
      <c r="BC28" s="12" t="n">
        <v>280</v>
      </c>
      <c r="BD28" s="12" t="n">
        <v>350</v>
      </c>
      <c r="BE28" s="13" t="n">
        <f aca="false">BA28+BB28+BC28+BD28</f>
        <v>1235</v>
      </c>
    </row>
    <row r="29" customFormat="false" ht="15" hidden="false" customHeight="false" outlineLevel="0" collapsed="false">
      <c r="A29" s="14" t="s">
        <v>41</v>
      </c>
      <c r="B29" s="11" t="s">
        <v>23</v>
      </c>
      <c r="C29" s="20" t="n">
        <f aca="false">+C25+C28</f>
        <v>939</v>
      </c>
      <c r="D29" s="20" t="n">
        <f aca="false">+D25+D28</f>
        <v>1257</v>
      </c>
      <c r="E29" s="20" t="n">
        <f aca="false">+E25+E28</f>
        <v>1440</v>
      </c>
      <c r="F29" s="20" t="n">
        <f aca="false">+F25+F28</f>
        <v>2301</v>
      </c>
      <c r="G29" s="20" t="n">
        <f aca="false">+G25+G28</f>
        <v>5937</v>
      </c>
      <c r="H29" s="20" t="n">
        <f aca="false">+H25+H28</f>
        <v>1805</v>
      </c>
      <c r="I29" s="20" t="n">
        <f aca="false">+I25+I28</f>
        <v>2427</v>
      </c>
      <c r="J29" s="20" t="n">
        <f aca="false">+J25+J28</f>
        <v>2705</v>
      </c>
      <c r="K29" s="20" t="n">
        <f aca="false">+K25+K28</f>
        <v>3785</v>
      </c>
      <c r="L29" s="20" t="n">
        <f aca="false">+L25+L28</f>
        <v>10722</v>
      </c>
      <c r="M29" s="20" t="n">
        <f aca="false">+M25+M28</f>
        <v>3212</v>
      </c>
      <c r="N29" s="20" t="n">
        <f aca="false">+N25+N28</f>
        <v>4044</v>
      </c>
      <c r="O29" s="20" t="n">
        <f aca="false">+O25+O28</f>
        <v>4649</v>
      </c>
      <c r="P29" s="20" t="n">
        <f aca="false">+P25+P28</f>
        <v>5975</v>
      </c>
      <c r="Q29" s="20" t="n">
        <f aca="false">+Q25+Q28</f>
        <v>17880</v>
      </c>
      <c r="R29" s="20" t="n">
        <f aca="false">+R25+R28</f>
        <v>4740</v>
      </c>
      <c r="S29" s="20" t="n">
        <f aca="false">+S25+S28</f>
        <v>5149</v>
      </c>
      <c r="T29" s="20" t="n">
        <f aca="false">+T25+T28</f>
        <v>4629</v>
      </c>
      <c r="U29" s="20" t="n">
        <f aca="false">+U25+U28</f>
        <v>6374</v>
      </c>
      <c r="V29" s="20" t="n">
        <f aca="false">+V25+V28</f>
        <v>20892</v>
      </c>
      <c r="W29" s="20" t="n">
        <f aca="false">+W25+W28</f>
        <v>4542</v>
      </c>
      <c r="X29" s="20" t="n">
        <f aca="false">+X25+X28</f>
        <v>5077</v>
      </c>
      <c r="Y29" s="20" t="n">
        <f aca="false">+Y25+Y28</f>
        <v>6713</v>
      </c>
      <c r="Z29" s="20" t="n">
        <f aca="false">+Z25+Z28</f>
        <v>8250</v>
      </c>
      <c r="AA29" s="20" t="n">
        <f aca="false">+AA25+AA28</f>
        <v>24582</v>
      </c>
      <c r="AB29" s="20" t="n">
        <f aca="false">+AB25+AB28</f>
        <v>5773</v>
      </c>
      <c r="AC29" s="20" t="n">
        <f aca="false">+AC25+AC28</f>
        <v>6645</v>
      </c>
      <c r="AD29" s="20" t="n">
        <f aca="false">+AD25+AD28</f>
        <v>8554</v>
      </c>
      <c r="AE29" s="20" t="n">
        <f aca="false">+AE25+AE28</f>
        <v>12791</v>
      </c>
      <c r="AF29" s="20" t="n">
        <f aca="false">+AF25+AF28</f>
        <v>33763</v>
      </c>
      <c r="AG29" s="20" t="n">
        <f aca="false">+AG25+AG28</f>
        <v>11311</v>
      </c>
      <c r="AH29" s="20" t="n">
        <f aca="false">+AH25+AH28</f>
        <v>13182</v>
      </c>
      <c r="AI29" s="20" t="n">
        <f aca="false">+AI25+AI28</f>
        <v>11842</v>
      </c>
      <c r="AJ29" s="20" t="n">
        <f aca="false">+AJ25+AJ28</f>
        <v>13445</v>
      </c>
      <c r="AK29" s="20" t="n">
        <f aca="false">+AK25+AK28</f>
        <v>49780</v>
      </c>
      <c r="AL29" s="20" t="n">
        <f aca="false">+AL25+AL28</f>
        <v>7696</v>
      </c>
      <c r="AM29" s="20" t="n">
        <f aca="false">+AM25+AM28</f>
        <v>7365</v>
      </c>
      <c r="AN29" s="20" t="n">
        <f aca="false">+AN25+AN28</f>
        <v>4793</v>
      </c>
      <c r="AO29" s="20" t="n">
        <f aca="false">+AO25+AO28</f>
        <v>8307</v>
      </c>
      <c r="AP29" s="20" t="n">
        <f aca="false">+AP25+AP28</f>
        <v>28161</v>
      </c>
      <c r="AQ29" s="20" t="n">
        <f aca="false">+AQ25+AQ28</f>
        <v>7910</v>
      </c>
      <c r="AR29" s="20" t="n">
        <f aca="false">+AR25+AR28</f>
        <v>11521</v>
      </c>
      <c r="AS29" s="20" t="n">
        <f aca="false">+AS25+AS28</f>
        <v>13112</v>
      </c>
      <c r="AT29" s="20" t="n">
        <f aca="false">+AT25+AT28</f>
        <v>16849</v>
      </c>
      <c r="AU29" s="20" t="n">
        <f aca="false">+AU25+AU28</f>
        <v>49392</v>
      </c>
      <c r="AV29" s="20" t="n">
        <f aca="false">+AV25+AV28</f>
        <v>14455</v>
      </c>
      <c r="AW29" s="20" t="n">
        <f aca="false">+AW25+AW28</f>
        <v>15181</v>
      </c>
      <c r="AX29" s="20" t="n">
        <f aca="false">+AX25+AX28</f>
        <v>15497</v>
      </c>
      <c r="AY29" s="20" t="n">
        <f aca="false">+AY25+AY28</f>
        <v>19520</v>
      </c>
      <c r="AZ29" s="20" t="n">
        <f aca="false">+AZ25+AZ28</f>
        <v>64653</v>
      </c>
      <c r="BA29" s="20" t="n">
        <f aca="false">+BA25+BA28</f>
        <v>14346</v>
      </c>
      <c r="BB29" s="20" t="n">
        <f aca="false">+BB25+BB28</f>
        <v>17109</v>
      </c>
      <c r="BC29" s="20" t="n">
        <f aca="false">+BC25+BC28</f>
        <v>19330</v>
      </c>
      <c r="BD29" s="20" t="n">
        <f aca="false">+BD25+BD28</f>
        <v>23044</v>
      </c>
      <c r="BE29" s="20" t="n">
        <f aca="false">+BE25+BE28</f>
        <v>73829</v>
      </c>
    </row>
    <row r="30" customFormat="false" ht="15" hidden="false" customHeight="false" outlineLevel="0" collapsed="false">
      <c r="A30" s="10" t="s">
        <v>42</v>
      </c>
      <c r="B30" s="11" t="s">
        <v>23</v>
      </c>
      <c r="C30" s="12" t="n">
        <v>350</v>
      </c>
      <c r="D30" s="12" t="n">
        <v>470</v>
      </c>
      <c r="E30" s="12" t="n">
        <v>555</v>
      </c>
      <c r="F30" s="12" t="n">
        <v>761</v>
      </c>
      <c r="G30" s="13" t="n">
        <f aca="false">C30+D30+E30+F30</f>
        <v>2136</v>
      </c>
      <c r="H30" s="12" t="n">
        <v>620</v>
      </c>
      <c r="I30" s="12" t="n">
        <v>820</v>
      </c>
      <c r="J30" s="12" t="n">
        <v>1100</v>
      </c>
      <c r="K30" s="12" t="n">
        <v>1397</v>
      </c>
      <c r="L30" s="13" t="n">
        <f aca="false">H30+I30+J30+K30</f>
        <v>3937</v>
      </c>
      <c r="M30" s="12" t="n">
        <v>1068</v>
      </c>
      <c r="N30" s="12" t="n">
        <v>1425</v>
      </c>
      <c r="O30" s="12" t="n">
        <v>1695</v>
      </c>
      <c r="P30" s="12" t="n">
        <v>4660</v>
      </c>
      <c r="Q30" s="13" t="n">
        <f aca="false">M30+N30+O30+P30</f>
        <v>8848</v>
      </c>
      <c r="R30" s="12" t="n">
        <v>996</v>
      </c>
      <c r="S30" s="12" t="n">
        <v>1035</v>
      </c>
      <c r="T30" s="12" t="n">
        <v>730</v>
      </c>
      <c r="U30" s="12" t="n">
        <v>1242</v>
      </c>
      <c r="V30" s="13" t="n">
        <f aca="false">R30+S30+T30+U30</f>
        <v>4003</v>
      </c>
      <c r="W30" s="12" t="n">
        <v>1549</v>
      </c>
      <c r="X30" s="12" t="n">
        <v>1173</v>
      </c>
      <c r="Y30" s="12" t="n">
        <v>1927</v>
      </c>
      <c r="Z30" s="12" t="n">
        <v>2171</v>
      </c>
      <c r="AA30" s="13" t="n">
        <f aca="false">W30+X30+Y30+Z30</f>
        <v>6820</v>
      </c>
      <c r="AB30" s="12" t="n">
        <v>1092</v>
      </c>
      <c r="AC30" s="12" t="n">
        <v>1152</v>
      </c>
      <c r="AD30" s="12" t="n">
        <v>1601</v>
      </c>
      <c r="AE30" s="12" t="n">
        <v>2506</v>
      </c>
      <c r="AF30" s="13" t="n">
        <f aca="false">AB30+AC30+AD30+AE30</f>
        <v>6351</v>
      </c>
      <c r="AG30" s="12" t="n">
        <v>2612</v>
      </c>
      <c r="AH30" s="12" t="n">
        <v>2888</v>
      </c>
      <c r="AI30" s="12" t="n">
        <v>2365</v>
      </c>
      <c r="AJ30" s="12" t="n">
        <v>1971</v>
      </c>
      <c r="AK30" s="13" t="n">
        <f aca="false">AG30+AH30+AI30+AJ30</f>
        <v>9836</v>
      </c>
      <c r="AL30" s="12" t="n">
        <v>1400</v>
      </c>
      <c r="AM30" s="12" t="n">
        <v>1209</v>
      </c>
      <c r="AN30" s="12" t="n">
        <v>609</v>
      </c>
      <c r="AO30" s="12" t="n">
        <v>1481</v>
      </c>
      <c r="AP30" s="13" t="n">
        <f aca="false">AL30+AM30+AN30+AO30</f>
        <v>4699</v>
      </c>
      <c r="AQ30" s="12" t="n">
        <v>1598</v>
      </c>
      <c r="AR30" s="12" t="n">
        <v>2788</v>
      </c>
      <c r="AS30" s="12" t="n">
        <v>3413</v>
      </c>
      <c r="AT30" s="12" t="n">
        <v>4425</v>
      </c>
      <c r="AU30" s="13" t="n">
        <f aca="false">AQ30+AR30+AS30+AT30</f>
        <v>12224</v>
      </c>
      <c r="AV30" s="12" t="n">
        <v>3932</v>
      </c>
      <c r="AW30" s="12" t="n">
        <v>4001</v>
      </c>
      <c r="AX30" s="12" t="n">
        <v>3612</v>
      </c>
      <c r="AY30" s="12" t="n">
        <v>5262</v>
      </c>
      <c r="AZ30" s="13" t="n">
        <f aca="false">AV30+AW30+AX30+AY30</f>
        <v>16807</v>
      </c>
      <c r="BA30" s="12" t="n">
        <v>3798</v>
      </c>
      <c r="BB30" s="12" t="n">
        <v>4370</v>
      </c>
      <c r="BC30" s="12" t="n">
        <v>4920</v>
      </c>
      <c r="BD30" s="12" t="n">
        <v>5850</v>
      </c>
      <c r="BE30" s="13" t="n">
        <f aca="false">BA30+BB30+BC30+BD30</f>
        <v>18938</v>
      </c>
    </row>
    <row r="31" customFormat="false" ht="15" hidden="false" customHeight="false" outlineLevel="0" collapsed="false">
      <c r="A31" s="16" t="s">
        <v>43</v>
      </c>
      <c r="B31" s="11" t="s">
        <v>27</v>
      </c>
      <c r="C31" s="17" t="n">
        <f aca="false">IF(C29=0,0,C30/C29)</f>
        <v>0.372736954206603</v>
      </c>
      <c r="D31" s="17" t="n">
        <f aca="false">IF(D29=0,0,D30/D29)</f>
        <v>0.373906125696102</v>
      </c>
      <c r="E31" s="17" t="n">
        <f aca="false">IF(E29=0,0,E30/E29)</f>
        <v>0.385416666666667</v>
      </c>
      <c r="F31" s="17" t="n">
        <f aca="false">IF(F29=0,0,F30/F29)</f>
        <v>0.330725771403738</v>
      </c>
      <c r="G31" s="17" t="n">
        <f aca="false">IF(G29=0,0,G30/G29)</f>
        <v>0.35977766548762</v>
      </c>
      <c r="H31" s="17" t="n">
        <f aca="false">IF(H29=0,0,H30/H29)</f>
        <v>0.343490304709141</v>
      </c>
      <c r="I31" s="17" t="n">
        <f aca="false">IF(I29=0,0,I30/I29)</f>
        <v>0.337865677791512</v>
      </c>
      <c r="J31" s="17" t="n">
        <f aca="false">IF(J29=0,0,J30/J29)</f>
        <v>0.406654343807763</v>
      </c>
      <c r="K31" s="17" t="n">
        <f aca="false">IF(K29=0,0,K30/K29)</f>
        <v>0.369088507265522</v>
      </c>
      <c r="L31" s="17" t="n">
        <f aca="false">IF(L29=0,0,L30/L29)</f>
        <v>0.367188957284089</v>
      </c>
      <c r="M31" s="17" t="n">
        <f aca="false">IF(M29=0,0,M30/M29)</f>
        <v>0.332503113325031</v>
      </c>
      <c r="N31" s="17" t="n">
        <f aca="false">IF(N29=0,0,N30/N29)</f>
        <v>0.352373887240356</v>
      </c>
      <c r="O31" s="17" t="n">
        <f aca="false">IF(O29=0,0,O30/O29)</f>
        <v>0.364594536459454</v>
      </c>
      <c r="P31" s="17" t="n">
        <f aca="false">IF(P29=0,0,P30/P29)</f>
        <v>0.779916317991632</v>
      </c>
      <c r="Q31" s="17" t="n">
        <f aca="false">IF(Q29=0,0,Q30/Q29)</f>
        <v>0.494854586129754</v>
      </c>
      <c r="R31" s="17" t="n">
        <f aca="false">IF(R29=0,0,R30/R29)</f>
        <v>0.210126582278481</v>
      </c>
      <c r="S31" s="17" t="n">
        <f aca="false">IF(S29=0,0,S30/S29)</f>
        <v>0.20100990483589</v>
      </c>
      <c r="T31" s="17" t="n">
        <f aca="false">IF(T29=0,0,T30/T29)</f>
        <v>0.157701447396846</v>
      </c>
      <c r="U31" s="17" t="n">
        <f aca="false">IF(U29=0,0,U30/U29)</f>
        <v>0.194854094759962</v>
      </c>
      <c r="V31" s="17" t="n">
        <f aca="false">IF(V29=0,0,V30/V29)</f>
        <v>0.191604441891633</v>
      </c>
      <c r="W31" s="17" t="n">
        <f aca="false">IF(W29=0,0,W30/W29)</f>
        <v>0.341039189784236</v>
      </c>
      <c r="X31" s="17" t="n">
        <f aca="false">IF(X29=0,0,X30/X29)</f>
        <v>0.231041953909789</v>
      </c>
      <c r="Y31" s="17" t="n">
        <f aca="false">IF(Y29=0,0,Y30/Y29)</f>
        <v>0.287054967972591</v>
      </c>
      <c r="Z31" s="17" t="n">
        <f aca="false">IF(Z29=0,0,Z30/Z29)</f>
        <v>0.263151515151515</v>
      </c>
      <c r="AA31" s="17" t="n">
        <f aca="false">IF(AA29=0,0,AA30/AA29)</f>
        <v>0.277438776340412</v>
      </c>
      <c r="AB31" s="17" t="n">
        <f aca="false">IF(AB29=0,0,AB30/AB29)</f>
        <v>0.189156417807033</v>
      </c>
      <c r="AC31" s="17" t="n">
        <f aca="false">IF(AC29=0,0,AC30/AC29)</f>
        <v>0.173363431151242</v>
      </c>
      <c r="AD31" s="17" t="n">
        <f aca="false">IF(AD29=0,0,AD30/AD29)</f>
        <v>0.187163899929857</v>
      </c>
      <c r="AE31" s="17" t="n">
        <f aca="false">IF(AE29=0,0,AE30/AE29)</f>
        <v>0.195919005550778</v>
      </c>
      <c r="AF31" s="17" t="n">
        <f aca="false">IF(AF29=0,0,AF30/AF29)</f>
        <v>0.188105322394337</v>
      </c>
      <c r="AG31" s="17" t="n">
        <f aca="false">IF(AG29=0,0,AG30/AG29)</f>
        <v>0.230925647599682</v>
      </c>
      <c r="AH31" s="17" t="n">
        <f aca="false">IF(AH29=0,0,AH30/AH29)</f>
        <v>0.219086633287817</v>
      </c>
      <c r="AI31" s="17" t="n">
        <f aca="false">IF(AI29=0,0,AI30/AI29)</f>
        <v>0.199712886336767</v>
      </c>
      <c r="AJ31" s="17" t="n">
        <f aca="false">IF(AJ29=0,0,AJ30/AJ29)</f>
        <v>0.146597248047601</v>
      </c>
      <c r="AK31" s="17" t="n">
        <f aca="false">IF(AK29=0,0,AK30/AK29)</f>
        <v>0.197589393330655</v>
      </c>
      <c r="AL31" s="17" t="n">
        <f aca="false">IF(AL29=0,0,AL30/AL29)</f>
        <v>0.181912681912682</v>
      </c>
      <c r="AM31" s="17" t="n">
        <f aca="false">IF(AM29=0,0,AM30/AM29)</f>
        <v>0.164154786150713</v>
      </c>
      <c r="AN31" s="17" t="n">
        <f aca="false">IF(AN29=0,0,AN30/AN29)</f>
        <v>0.127060296265387</v>
      </c>
      <c r="AO31" s="17" t="n">
        <f aca="false">IF(AO29=0,0,AO30/AO29)</f>
        <v>0.178283375466474</v>
      </c>
      <c r="AP31" s="17" t="n">
        <f aca="false">IF(AP29=0,0,AP30/AP29)</f>
        <v>0.1668619722311</v>
      </c>
      <c r="AQ31" s="17" t="n">
        <f aca="false">IF(AQ29=0,0,AQ30/AQ29)</f>
        <v>0.202022756005057</v>
      </c>
      <c r="AR31" s="17" t="n">
        <f aca="false">IF(AR29=0,0,AR30/AR29)</f>
        <v>0.241992882562278</v>
      </c>
      <c r="AS31" s="17" t="n">
        <f aca="false">IF(AS29=0,0,AS30/AS29)</f>
        <v>0.26029591214155</v>
      </c>
      <c r="AT31" s="17" t="n">
        <f aca="false">IF(AT29=0,0,AT30/AT29)</f>
        <v>0.262626862128316</v>
      </c>
      <c r="AU31" s="17" t="n">
        <f aca="false">IF(AU29=0,0,AU30/AU29)</f>
        <v>0.247489471979268</v>
      </c>
      <c r="AV31" s="17" t="n">
        <f aca="false">IF(AV29=0,0,AV30/AV29)</f>
        <v>0.27201660325147</v>
      </c>
      <c r="AW31" s="17" t="n">
        <f aca="false">IF(AW29=0,0,AW30/AW29)</f>
        <v>0.263553125617548</v>
      </c>
      <c r="AX31" s="17" t="n">
        <f aca="false">IF(AX29=0,0,AX30/AX29)</f>
        <v>0.233077369813512</v>
      </c>
      <c r="AY31" s="17" t="n">
        <f aca="false">IF(AY29=0,0,AY30/AY29)</f>
        <v>0.269569672131148</v>
      </c>
      <c r="AZ31" s="17" t="n">
        <f aca="false">IF(AZ29=0,0,AZ30/AZ29)</f>
        <v>0.259957001221908</v>
      </c>
      <c r="BA31" s="17" t="n">
        <f aca="false">IF(BA29=0,0,BA30/BA29)</f>
        <v>0.26474278544542</v>
      </c>
      <c r="BB31" s="17" t="n">
        <f aca="false">IF(BB29=0,0,BB30/BB29)</f>
        <v>0.255421123385353</v>
      </c>
      <c r="BC31" s="17" t="n">
        <f aca="false">IF(BC29=0,0,BC30/BC29)</f>
        <v>0.254526642524573</v>
      </c>
      <c r="BD31" s="17" t="n">
        <f aca="false">IF(BD29=0,0,BD30/BD29)</f>
        <v>0.253862176705433</v>
      </c>
      <c r="BE31" s="17" t="n">
        <f aca="false">IF(BE29=0,0,BE30/BE29)</f>
        <v>0.256511668856411</v>
      </c>
    </row>
    <row r="32" customFormat="false" ht="15" hidden="false" customHeight="false" outlineLevel="0" collapsed="false">
      <c r="A32" s="14" t="s">
        <v>44</v>
      </c>
      <c r="B32" s="11" t="s">
        <v>23</v>
      </c>
      <c r="C32" s="15" t="n">
        <f aca="false">+C29-C30</f>
        <v>589</v>
      </c>
      <c r="D32" s="15" t="n">
        <f aca="false">+D29-D30</f>
        <v>787</v>
      </c>
      <c r="E32" s="15" t="n">
        <f aca="false">+E29-E30</f>
        <v>885</v>
      </c>
      <c r="F32" s="15" t="n">
        <f aca="false">+F29-F30</f>
        <v>1540</v>
      </c>
      <c r="G32" s="15" t="n">
        <f aca="false">+G29-G30</f>
        <v>3801</v>
      </c>
      <c r="H32" s="15" t="n">
        <f aca="false">+H29-H30</f>
        <v>1185</v>
      </c>
      <c r="I32" s="15" t="n">
        <f aca="false">+I29-I30</f>
        <v>1607</v>
      </c>
      <c r="J32" s="15" t="n">
        <f aca="false">+J29-J30</f>
        <v>1605</v>
      </c>
      <c r="K32" s="15" t="n">
        <f aca="false">+K29-K30</f>
        <v>2388</v>
      </c>
      <c r="L32" s="15" t="n">
        <f aca="false">+L29-L30</f>
        <v>6785</v>
      </c>
      <c r="M32" s="15" t="n">
        <f aca="false">+M29-M30</f>
        <v>2144</v>
      </c>
      <c r="N32" s="15" t="n">
        <f aca="false">+N29-N30</f>
        <v>2619</v>
      </c>
      <c r="O32" s="15" t="n">
        <f aca="false">+O29-O30</f>
        <v>2954</v>
      </c>
      <c r="P32" s="15" t="n">
        <f aca="false">+P29-P30</f>
        <v>1315</v>
      </c>
      <c r="Q32" s="15" t="n">
        <f aca="false">+Q29-Q30</f>
        <v>9032</v>
      </c>
      <c r="R32" s="15" t="n">
        <f aca="false">+R29-R30</f>
        <v>3744</v>
      </c>
      <c r="S32" s="15" t="n">
        <f aca="false">+S29-S30</f>
        <v>4114</v>
      </c>
      <c r="T32" s="15" t="n">
        <f aca="false">+T29-T30</f>
        <v>3899</v>
      </c>
      <c r="U32" s="15" t="n">
        <f aca="false">+U29-U30</f>
        <v>5132</v>
      </c>
      <c r="V32" s="15" t="n">
        <f aca="false">+V29-V30</f>
        <v>16889</v>
      </c>
      <c r="W32" s="15" t="n">
        <f aca="false">+W29-W30</f>
        <v>2993</v>
      </c>
      <c r="X32" s="15" t="n">
        <f aca="false">+X29-X30</f>
        <v>3904</v>
      </c>
      <c r="Y32" s="15" t="n">
        <f aca="false">+Y29-Y30</f>
        <v>4786</v>
      </c>
      <c r="Z32" s="15" t="n">
        <f aca="false">+Z29-Z30</f>
        <v>6079</v>
      </c>
      <c r="AA32" s="15" t="n">
        <f aca="false">+AA29-AA30</f>
        <v>17762</v>
      </c>
      <c r="AB32" s="15" t="n">
        <f aca="false">+AB29-AB30</f>
        <v>4681</v>
      </c>
      <c r="AC32" s="15" t="n">
        <f aca="false">+AC29-AC30</f>
        <v>5493</v>
      </c>
      <c r="AD32" s="15" t="n">
        <f aca="false">+AD29-AD30</f>
        <v>6953</v>
      </c>
      <c r="AE32" s="15" t="n">
        <f aca="false">+AE29-AE30</f>
        <v>10285</v>
      </c>
      <c r="AF32" s="15" t="n">
        <f aca="false">+AF29-AF30</f>
        <v>27412</v>
      </c>
      <c r="AG32" s="15" t="n">
        <f aca="false">+AG29-AG30</f>
        <v>8699</v>
      </c>
      <c r="AH32" s="15" t="n">
        <f aca="false">+AH29-AH30</f>
        <v>10294</v>
      </c>
      <c r="AI32" s="15" t="n">
        <f aca="false">+AI29-AI30</f>
        <v>9477</v>
      </c>
      <c r="AJ32" s="15" t="n">
        <f aca="false">+AJ29-AJ30</f>
        <v>11474</v>
      </c>
      <c r="AK32" s="15" t="n">
        <f aca="false">+AK29-AK30</f>
        <v>39944</v>
      </c>
      <c r="AL32" s="15" t="n">
        <f aca="false">+AL29-AL30</f>
        <v>6296</v>
      </c>
      <c r="AM32" s="15" t="n">
        <f aca="false">+AM29-AM30</f>
        <v>6156</v>
      </c>
      <c r="AN32" s="15" t="n">
        <f aca="false">+AN29-AN30</f>
        <v>4184</v>
      </c>
      <c r="AO32" s="15" t="n">
        <f aca="false">+AO29-AO30</f>
        <v>6826</v>
      </c>
      <c r="AP32" s="15" t="n">
        <f aca="false">+AP29-AP30</f>
        <v>23462</v>
      </c>
      <c r="AQ32" s="15" t="n">
        <f aca="false">+AQ29-AQ30</f>
        <v>6312</v>
      </c>
      <c r="AR32" s="15" t="n">
        <f aca="false">+AR29-AR30</f>
        <v>8733</v>
      </c>
      <c r="AS32" s="15" t="n">
        <f aca="false">+AS29-AS30</f>
        <v>9699</v>
      </c>
      <c r="AT32" s="15" t="n">
        <f aca="false">+AT29-AT30</f>
        <v>12424</v>
      </c>
      <c r="AU32" s="15" t="n">
        <f aca="false">+AU29-AU30</f>
        <v>37168</v>
      </c>
      <c r="AV32" s="15" t="n">
        <f aca="false">+AV29-AV30</f>
        <v>10523</v>
      </c>
      <c r="AW32" s="15" t="n">
        <f aca="false">+AW29-AW30</f>
        <v>11180</v>
      </c>
      <c r="AX32" s="15" t="n">
        <f aca="false">+AX29-AX30</f>
        <v>11885</v>
      </c>
      <c r="AY32" s="15" t="n">
        <f aca="false">+AY29-AY30</f>
        <v>14258</v>
      </c>
      <c r="AZ32" s="15" t="n">
        <f aca="false">+AZ29-AZ30</f>
        <v>47846</v>
      </c>
      <c r="BA32" s="15" t="n">
        <f aca="false">+BA29-BA30</f>
        <v>10548</v>
      </c>
      <c r="BB32" s="15" t="n">
        <f aca="false">+BB29-BB30</f>
        <v>12739</v>
      </c>
      <c r="BC32" s="15" t="n">
        <f aca="false">+BC29-BC30</f>
        <v>14410</v>
      </c>
      <c r="BD32" s="15" t="n">
        <f aca="false">+BD29-BD30</f>
        <v>17194</v>
      </c>
      <c r="BE32" s="15" t="n">
        <f aca="false">+BE29-BE30</f>
        <v>54891</v>
      </c>
    </row>
    <row r="33" customFormat="false" ht="15" hidden="false" customHeight="false" outlineLevel="0" collapsed="false">
      <c r="A33" s="14" t="s">
        <v>45</v>
      </c>
      <c r="B33" s="11" t="s">
        <v>27</v>
      </c>
      <c r="C33" s="22" t="n">
        <f aca="false">IF(C14=0,0,C32/C14)</f>
        <v>0.166243296641264</v>
      </c>
      <c r="D33" s="22" t="n">
        <f aca="false">IF(D14=0,0,D32/D14)</f>
        <v>0.19470559129144</v>
      </c>
      <c r="E33" s="22" t="n">
        <f aca="false">IF(E14=0,0,E32/E14)</f>
        <v>0.196622972672739</v>
      </c>
      <c r="F33" s="22" t="n">
        <f aca="false">IF(F14=0,0,F32/F14)</f>
        <v>0.263653483992467</v>
      </c>
      <c r="G33" s="22" t="n">
        <f aca="false">IF(G14=0,0,G32/G14)</f>
        <v>0.212026552128075</v>
      </c>
      <c r="H33" s="22" t="n">
        <f aca="false">IF(H14=0,0,H32/H14)</f>
        <v>0.220178372352285</v>
      </c>
      <c r="I33" s="22" t="n">
        <f aca="false">IF(I14=0,0,I32/I14)</f>
        <v>0.249689247980112</v>
      </c>
      <c r="J33" s="22" t="n">
        <f aca="false">IF(J14=0,0,J32/J14)</f>
        <v>0.228925973470261</v>
      </c>
      <c r="K33" s="22" t="n">
        <f aca="false">IF(K14=0,0,K32/K14)</f>
        <v>0.271086388920422</v>
      </c>
      <c r="L33" s="22" t="n">
        <f aca="false">IF(L14=0,0,L32/L14)</f>
        <v>0.245495332513206</v>
      </c>
      <c r="M33" s="22" t="n">
        <f aca="false">IF(M14=0,0,M32/M14)</f>
        <v>0.266932270916335</v>
      </c>
      <c r="N33" s="22" t="n">
        <f aca="false">IF(N14=0,0,N32/N14)</f>
        <v>0.280978435790151</v>
      </c>
      <c r="O33" s="22" t="n">
        <f aca="false">IF(O14=0,0,O32/O14)</f>
        <v>0.286018590240124</v>
      </c>
      <c r="P33" s="22" t="n">
        <f aca="false">IF(P14=0,0,P32/P14)</f>
        <v>0.101372186247302</v>
      </c>
      <c r="Q33" s="22" t="n">
        <f aca="false">IF(Q14=0,0,Q32/Q14)</f>
        <v>0.222173025360982</v>
      </c>
      <c r="R33" s="22" t="n">
        <f aca="false">IF(R14=0,0,R32/R14)</f>
        <v>0.312886511783386</v>
      </c>
      <c r="S33" s="22" t="n">
        <f aca="false">IF(S14=0,0,S32/S14)</f>
        <v>0.310936437155166</v>
      </c>
      <c r="T33" s="22" t="n">
        <f aca="false">IF(T14=0,0,T32/T14)</f>
        <v>0.284038755736869</v>
      </c>
      <c r="U33" s="22" t="n">
        <f aca="false">IF(U14=0,0,U32/U14)</f>
        <v>0.30341728745418</v>
      </c>
      <c r="V33" s="22" t="n">
        <f aca="false">IF(V14=0,0,V32/V14)</f>
        <v>0.302464271642967</v>
      </c>
      <c r="W33" s="22" t="n">
        <f aca="false">IF(W14=0,0,W32/W14)</f>
        <v>0.198514293294422</v>
      </c>
      <c r="X33" s="22" t="n">
        <f aca="false">IF(X14=0,0,X32/X14)</f>
        <v>0.231197441667654</v>
      </c>
      <c r="Y33" s="22" t="n">
        <f aca="false">IF(Y14=0,0,Y32/Y14)</f>
        <v>0.271130750056651</v>
      </c>
      <c r="Z33" s="22" t="n">
        <f aca="false">IF(Z14=0,0,Z32/Z14)</f>
        <v>0.288350251399298</v>
      </c>
      <c r="AA33" s="22" t="n">
        <f aca="false">IF(AA14=0,0,AA32/AA14)</f>
        <v>0.251241212498409</v>
      </c>
      <c r="AB33" s="22" t="n">
        <f aca="false">IF(AB14=0,0,AB32/AB14)</f>
        <v>0.263911597226137</v>
      </c>
      <c r="AC33" s="22" t="n">
        <f aca="false">IF(AC14=0,0,AC32/AC14)</f>
        <v>0.293947664151549</v>
      </c>
      <c r="AD33" s="22" t="n">
        <f aca="false">IF(AD14=0,0,AD32/AD14)</f>
        <v>0.323847228691197</v>
      </c>
      <c r="AE33" s="22" t="n">
        <f aca="false">IF(AE14=0,0,AE32/AE14)</f>
        <v>0.366379310344828</v>
      </c>
      <c r="AF33" s="22" t="n">
        <f aca="false">IF(AF14=0,0,AF32/AF14)</f>
        <v>0.318870251029477</v>
      </c>
      <c r="AG33" s="22" t="n">
        <f aca="false">IF(AG14=0,0,AG32/AG14)</f>
        <v>0.332390814260059</v>
      </c>
      <c r="AH33" s="22" t="n">
        <f aca="false">IF(AH14=0,0,AH32/AH14)</f>
        <v>0.354025518451009</v>
      </c>
      <c r="AI33" s="22" t="n">
        <f aca="false">IF(AI14=0,0,AI32/AI14)</f>
        <v>0.326680455015512</v>
      </c>
      <c r="AJ33" s="22" t="n">
        <f aca="false">IF(AJ14=0,0,AJ32/AJ14)</f>
        <v>0.340768019957827</v>
      </c>
      <c r="AK33" s="22" t="n">
        <f aca="false">IF(AK14=0,0,AK32/AK14)</f>
        <v>0.338712276030493</v>
      </c>
      <c r="AL33" s="22" t="n">
        <f aca="false">IF(AL14=0,0,AL32/AL14)</f>
        <v>0.225598394725527</v>
      </c>
      <c r="AM33" s="22" t="n">
        <f aca="false">IF(AM14=0,0,AM32/AM14)</f>
        <v>0.213586843383526</v>
      </c>
      <c r="AN33" s="22" t="n">
        <f aca="false">IF(AN14=0,0,AN32/AN14)</f>
        <v>0.150970628563181</v>
      </c>
      <c r="AO33" s="22" t="n">
        <f aca="false">IF(AO14=0,0,AO32/AO14)</f>
        <v>0.212218249650241</v>
      </c>
      <c r="AP33" s="22" t="n">
        <f aca="false">IF(AP14=0,0,AP32/AP14)</f>
        <v>0.201202308569664</v>
      </c>
      <c r="AQ33" s="22" t="n">
        <f aca="false">IF(AQ14=0,0,AQ32/AQ14)</f>
        <v>0.220352592075406</v>
      </c>
      <c r="AR33" s="22" t="n">
        <f aca="false">IF(AR14=0,0,AR32/AR14)</f>
        <v>0.272914778586831</v>
      </c>
      <c r="AS33" s="22" t="n">
        <f aca="false">IF(AS14=0,0,AS32/AS14)</f>
        <v>0.284044983306976</v>
      </c>
      <c r="AT33" s="22" t="n">
        <f aca="false">IF(AT14=0,0,AT32/AT14)</f>
        <v>0.309740470195208</v>
      </c>
      <c r="AU33" s="22" t="n">
        <f aca="false">IF(AU14=0,0,AU32/AU14)</f>
        <v>0.27552056693427</v>
      </c>
      <c r="AV33" s="22" t="n">
        <f aca="false">IF(AV14=0,0,AV32/AV14)</f>
        <v>0.288657248662735</v>
      </c>
      <c r="AW33" s="22" t="n">
        <f aca="false">IF(AW14=0,0,AW32/AW14)</f>
        <v>0.286145734688132</v>
      </c>
      <c r="AX33" s="22" t="n">
        <f aca="false">IF(AX14=0,0,AX32/AX14)</f>
        <v>0.292813323806943</v>
      </c>
      <c r="AY33" s="22" t="n">
        <f aca="false">IF(AY14=0,0,AY32/AY14)</f>
        <v>0.294678102717784</v>
      </c>
      <c r="AZ33" s="22" t="n">
        <f aca="false">IF(AZ14=0,0,AZ32/AZ14)</f>
        <v>0.290857142857143</v>
      </c>
      <c r="BA33" s="22" t="n">
        <f aca="false">IF(BA14=0,0,BA32/BA14)</f>
        <v>0.249279198374061</v>
      </c>
      <c r="BB33" s="22" t="n">
        <f aca="false">IF(BB14=0,0,BB32/BB14)</f>
        <v>0.268093524422838</v>
      </c>
      <c r="BC33" s="22" t="n">
        <f aca="false">IF(BC14=0,0,BC32/BC14)</f>
        <v>0.277115384615385</v>
      </c>
      <c r="BD33" s="22" t="n">
        <f aca="false">IF(BD14=0,0,BD32/BD14)</f>
        <v>0.287073830433766</v>
      </c>
      <c r="BE33" s="22" t="n">
        <f aca="false">IF(BE14=0,0,BE32/BE14)</f>
        <v>0.27210806791424</v>
      </c>
    </row>
    <row r="36" customFormat="false" ht="15" hidden="false" customHeight="false" outlineLevel="0" collapsed="false">
      <c r="A36" s="8" t="s">
        <v>46</v>
      </c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</row>
    <row r="37" customFormat="false" ht="15" hidden="false" customHeight="false" outlineLevel="0" collapsed="false">
      <c r="A37" s="14" t="s">
        <v>44</v>
      </c>
      <c r="B37" s="11" t="s">
        <v>23</v>
      </c>
      <c r="C37" s="23" t="n">
        <f aca="false">C32</f>
        <v>589</v>
      </c>
      <c r="D37" s="23" t="n">
        <f aca="false">D32</f>
        <v>787</v>
      </c>
      <c r="E37" s="23" t="n">
        <f aca="false">E32</f>
        <v>885</v>
      </c>
      <c r="F37" s="23" t="n">
        <f aca="false">F32</f>
        <v>1540</v>
      </c>
      <c r="G37" s="23" t="n">
        <f aca="false">G32</f>
        <v>3801</v>
      </c>
      <c r="H37" s="23" t="n">
        <f aca="false">H32</f>
        <v>1185</v>
      </c>
      <c r="I37" s="23" t="n">
        <f aca="false">I32</f>
        <v>1607</v>
      </c>
      <c r="J37" s="23" t="n">
        <f aca="false">J32</f>
        <v>1605</v>
      </c>
      <c r="K37" s="23" t="n">
        <f aca="false">K32</f>
        <v>2388</v>
      </c>
      <c r="L37" s="23" t="n">
        <f aca="false">L32</f>
        <v>6785</v>
      </c>
      <c r="M37" s="23" t="n">
        <f aca="false">M32</f>
        <v>2144</v>
      </c>
      <c r="N37" s="23" t="n">
        <f aca="false">N32</f>
        <v>2619</v>
      </c>
      <c r="O37" s="23" t="n">
        <f aca="false">O32</f>
        <v>2954</v>
      </c>
      <c r="P37" s="23" t="n">
        <f aca="false">P32</f>
        <v>1315</v>
      </c>
      <c r="Q37" s="23" t="n">
        <f aca="false">Q32</f>
        <v>9032</v>
      </c>
      <c r="R37" s="23" t="n">
        <f aca="false">R32</f>
        <v>3744</v>
      </c>
      <c r="S37" s="23" t="n">
        <f aca="false">S32</f>
        <v>4114</v>
      </c>
      <c r="T37" s="23" t="n">
        <f aca="false">T32</f>
        <v>3899</v>
      </c>
      <c r="U37" s="23" t="n">
        <f aca="false">U32</f>
        <v>5132</v>
      </c>
      <c r="V37" s="23" t="n">
        <f aca="false">V32</f>
        <v>16889</v>
      </c>
      <c r="W37" s="23" t="n">
        <f aca="false">W32</f>
        <v>2993</v>
      </c>
      <c r="X37" s="23" t="n">
        <f aca="false">X32</f>
        <v>3904</v>
      </c>
      <c r="Y37" s="23" t="n">
        <f aca="false">Y32</f>
        <v>4786</v>
      </c>
      <c r="Z37" s="23" t="n">
        <f aca="false">Z32</f>
        <v>6079</v>
      </c>
      <c r="AA37" s="23" t="n">
        <f aca="false">AA32</f>
        <v>17762</v>
      </c>
      <c r="AB37" s="23" t="n">
        <f aca="false">AB32</f>
        <v>4681</v>
      </c>
      <c r="AC37" s="23" t="n">
        <f aca="false">AC32</f>
        <v>5493</v>
      </c>
      <c r="AD37" s="23" t="n">
        <f aca="false">AD32</f>
        <v>6953</v>
      </c>
      <c r="AE37" s="23" t="n">
        <f aca="false">AE32</f>
        <v>10285</v>
      </c>
      <c r="AF37" s="23" t="n">
        <f aca="false">AF32</f>
        <v>27412</v>
      </c>
      <c r="AG37" s="23" t="n">
        <f aca="false">AG32</f>
        <v>8699</v>
      </c>
      <c r="AH37" s="23" t="n">
        <f aca="false">AH32</f>
        <v>10294</v>
      </c>
      <c r="AI37" s="23" t="n">
        <f aca="false">AI32</f>
        <v>9477</v>
      </c>
      <c r="AJ37" s="23" t="n">
        <f aca="false">AJ32</f>
        <v>11474</v>
      </c>
      <c r="AK37" s="23" t="n">
        <f aca="false">AK32</f>
        <v>39944</v>
      </c>
      <c r="AL37" s="23" t="n">
        <f aca="false">AL32</f>
        <v>6296</v>
      </c>
      <c r="AM37" s="23" t="n">
        <f aca="false">AM32</f>
        <v>6156</v>
      </c>
      <c r="AN37" s="23" t="n">
        <f aca="false">AN32</f>
        <v>4184</v>
      </c>
      <c r="AO37" s="23" t="n">
        <f aca="false">AO32</f>
        <v>6826</v>
      </c>
      <c r="AP37" s="23" t="n">
        <f aca="false">AP32</f>
        <v>23462</v>
      </c>
      <c r="AQ37" s="23" t="n">
        <f aca="false">AQ32</f>
        <v>6312</v>
      </c>
      <c r="AR37" s="23" t="n">
        <f aca="false">AR32</f>
        <v>8733</v>
      </c>
      <c r="AS37" s="23" t="n">
        <f aca="false">AS32</f>
        <v>9699</v>
      </c>
      <c r="AT37" s="23" t="n">
        <f aca="false">AT32</f>
        <v>12424</v>
      </c>
      <c r="AU37" s="23" t="n">
        <f aca="false">AU32</f>
        <v>37168</v>
      </c>
      <c r="AV37" s="23" t="n">
        <f aca="false">AV32</f>
        <v>10523</v>
      </c>
      <c r="AW37" s="23" t="n">
        <f aca="false">AW32</f>
        <v>11180</v>
      </c>
      <c r="AX37" s="23" t="n">
        <f aca="false">AX32</f>
        <v>11885</v>
      </c>
      <c r="AY37" s="23" t="n">
        <f aca="false">AY32</f>
        <v>14258</v>
      </c>
      <c r="AZ37" s="23" t="n">
        <f aca="false">AZ32</f>
        <v>47846</v>
      </c>
      <c r="BA37" s="23" t="n">
        <f aca="false">BA32</f>
        <v>10548</v>
      </c>
      <c r="BB37" s="23" t="n">
        <f aca="false">BB32</f>
        <v>12739</v>
      </c>
      <c r="BC37" s="23" t="n">
        <f aca="false">BC32</f>
        <v>14410</v>
      </c>
      <c r="BD37" s="23" t="n">
        <f aca="false">BD32</f>
        <v>17194</v>
      </c>
      <c r="BE37" s="23" t="n">
        <f aca="false">BE32</f>
        <v>54891</v>
      </c>
    </row>
    <row r="38" customFormat="false" ht="15" hidden="false" customHeight="false" outlineLevel="0" collapsed="false">
      <c r="A38" s="10" t="s">
        <v>47</v>
      </c>
      <c r="B38" s="11" t="s">
        <v>23</v>
      </c>
      <c r="C38" s="12" t="n">
        <v>395</v>
      </c>
      <c r="D38" s="12" t="n">
        <v>421</v>
      </c>
      <c r="E38" s="12" t="n">
        <v>459</v>
      </c>
      <c r="F38" s="12" t="n">
        <v>487</v>
      </c>
      <c r="G38" s="13" t="n">
        <f aca="false">C38+D38+E38+F38</f>
        <v>1762</v>
      </c>
      <c r="H38" s="12" t="n">
        <v>548</v>
      </c>
      <c r="I38" s="12" t="n">
        <v>613</v>
      </c>
      <c r="J38" s="12" t="n">
        <v>665</v>
      </c>
      <c r="K38" s="12" t="n">
        <v>749</v>
      </c>
      <c r="L38" s="13" t="n">
        <f aca="false">H38+I38+J38+K38</f>
        <v>2575</v>
      </c>
      <c r="M38" s="12" t="n">
        <v>818</v>
      </c>
      <c r="N38" s="12" t="n">
        <v>878</v>
      </c>
      <c r="O38" s="12" t="n">
        <v>951</v>
      </c>
      <c r="P38" s="12" t="n">
        <v>1028</v>
      </c>
      <c r="Q38" s="13" t="n">
        <f aca="false">M38+N38+O38+P38</f>
        <v>3675</v>
      </c>
      <c r="R38" s="12" t="n">
        <v>1116</v>
      </c>
      <c r="S38" s="12" t="n">
        <v>1193</v>
      </c>
      <c r="T38" s="12" t="n">
        <v>1262</v>
      </c>
      <c r="U38" s="12" t="n">
        <v>1368</v>
      </c>
      <c r="V38" s="13" t="n">
        <f aca="false">R38+S38+T38+U38</f>
        <v>4939</v>
      </c>
      <c r="W38" s="12" t="n">
        <v>1431</v>
      </c>
      <c r="X38" s="12" t="n">
        <v>1557</v>
      </c>
      <c r="Y38" s="12" t="n">
        <v>1608</v>
      </c>
      <c r="Z38" s="12" t="n">
        <v>1738</v>
      </c>
      <c r="AA38" s="13" t="n">
        <f aca="false">W38+X38+Y38+Z38</f>
        <v>6334</v>
      </c>
      <c r="AB38" s="12" t="n">
        <v>1818</v>
      </c>
      <c r="AC38" s="12" t="n">
        <v>1835</v>
      </c>
      <c r="AD38" s="12" t="n">
        <v>1837</v>
      </c>
      <c r="AE38" s="12" t="n">
        <v>1896</v>
      </c>
      <c r="AF38" s="13" t="n">
        <f aca="false">AB38+AC38+AD38+AE38</f>
        <v>7386</v>
      </c>
      <c r="AG38" s="12" t="n">
        <v>1938</v>
      </c>
      <c r="AH38" s="12" t="n">
        <v>2011</v>
      </c>
      <c r="AI38" s="12" t="n">
        <v>2091</v>
      </c>
      <c r="AJ38" s="12" t="n">
        <v>2318</v>
      </c>
      <c r="AK38" s="13" t="n">
        <f aca="false">AG38+AH38+AI38+AJ38</f>
        <v>8358</v>
      </c>
      <c r="AL38" s="12" t="n">
        <v>2587</v>
      </c>
      <c r="AM38" s="12" t="n">
        <v>2781</v>
      </c>
      <c r="AN38" s="12" t="n">
        <v>2933</v>
      </c>
      <c r="AO38" s="12" t="n">
        <v>3095</v>
      </c>
      <c r="AP38" s="13" t="n">
        <f aca="false">AL38+AM38+AN38+AO38</f>
        <v>11396</v>
      </c>
      <c r="AQ38" s="12" t="n">
        <v>3068</v>
      </c>
      <c r="AR38" s="12" t="n">
        <v>3119</v>
      </c>
      <c r="AS38" s="12" t="n">
        <v>3162</v>
      </c>
      <c r="AT38" s="12" t="n">
        <v>3402</v>
      </c>
      <c r="AU38" s="13" t="n">
        <f aca="false">AQ38+AR38+AS38+AT38</f>
        <v>12751</v>
      </c>
      <c r="AV38" s="12" t="n">
        <v>3527</v>
      </c>
      <c r="AW38" s="12" t="n">
        <v>3755</v>
      </c>
      <c r="AX38" s="12" t="n">
        <v>4023</v>
      </c>
      <c r="AY38" s="12" t="n">
        <v>4402</v>
      </c>
      <c r="AZ38" s="13" t="n">
        <f aca="false">AV38+AW38+AX38+AY38</f>
        <v>15707</v>
      </c>
      <c r="BA38" s="12" t="n">
        <v>4650</v>
      </c>
      <c r="BB38" s="12" t="n">
        <v>5100</v>
      </c>
      <c r="BC38" s="12" t="n">
        <v>5600</v>
      </c>
      <c r="BD38" s="12" t="n">
        <v>6100</v>
      </c>
      <c r="BE38" s="13" t="n">
        <f aca="false">BA38+BB38+BC38+BD38</f>
        <v>21450</v>
      </c>
    </row>
    <row r="39" customFormat="false" ht="15" hidden="false" customHeight="false" outlineLevel="0" collapsed="false">
      <c r="A39" s="10" t="s">
        <v>48</v>
      </c>
      <c r="B39" s="11" t="s">
        <v>23</v>
      </c>
      <c r="C39" s="12" t="n">
        <v>703</v>
      </c>
      <c r="D39" s="12" t="n">
        <v>751</v>
      </c>
      <c r="E39" s="12" t="n">
        <v>808</v>
      </c>
      <c r="F39" s="12" t="n">
        <v>877</v>
      </c>
      <c r="G39" s="13" t="n">
        <f aca="false">C39+D39+E39+F39</f>
        <v>3139</v>
      </c>
      <c r="H39" s="12" t="n">
        <v>952</v>
      </c>
      <c r="I39" s="12" t="n">
        <v>1014</v>
      </c>
      <c r="J39" s="12" t="n">
        <v>1078</v>
      </c>
      <c r="K39" s="12" t="n">
        <v>1146</v>
      </c>
      <c r="L39" s="13" t="n">
        <f aca="false">H39+I39+J39+K39</f>
        <v>4190</v>
      </c>
      <c r="M39" s="12" t="n">
        <v>1142</v>
      </c>
      <c r="N39" s="12" t="n">
        <v>1229</v>
      </c>
      <c r="O39" s="12" t="n">
        <v>1322</v>
      </c>
      <c r="P39" s="12" t="n">
        <v>1464</v>
      </c>
      <c r="Q39" s="13" t="n">
        <f aca="false">M39+N39+O39+P39</f>
        <v>5157</v>
      </c>
      <c r="R39" s="12" t="n">
        <v>1590</v>
      </c>
      <c r="S39" s="12" t="n">
        <v>1764</v>
      </c>
      <c r="T39" s="12" t="n">
        <v>1863</v>
      </c>
      <c r="U39" s="12" t="n">
        <v>2078</v>
      </c>
      <c r="V39" s="13" t="n">
        <f aca="false">R39+S39+T39+U39</f>
        <v>7295</v>
      </c>
      <c r="W39" s="12" t="n">
        <v>2073</v>
      </c>
      <c r="X39" s="12" t="n">
        <v>2333</v>
      </c>
      <c r="Y39" s="12" t="n">
        <v>2543</v>
      </c>
      <c r="Z39" s="12" t="n">
        <v>2856</v>
      </c>
      <c r="AA39" s="13" t="n">
        <f aca="false">W39+X39+Y39+Z39</f>
        <v>9805</v>
      </c>
      <c r="AB39" s="12" t="n">
        <v>2823</v>
      </c>
      <c r="AC39" s="12" t="n">
        <v>2975</v>
      </c>
      <c r="AD39" s="12" t="n">
        <v>3155</v>
      </c>
      <c r="AE39" s="12" t="n">
        <v>3296</v>
      </c>
      <c r="AF39" s="13" t="n">
        <f aca="false">AB39+AC39+AD39+AE39</f>
        <v>12249</v>
      </c>
      <c r="AG39" s="12" t="n">
        <v>3468</v>
      </c>
      <c r="AH39" s="12" t="n">
        <v>3676</v>
      </c>
      <c r="AI39" s="12" t="n">
        <v>3920</v>
      </c>
      <c r="AJ39" s="12" t="n">
        <v>4271</v>
      </c>
      <c r="AK39" s="13" t="n">
        <f aca="false">AG39+AH39+AI39+AJ39</f>
        <v>15335</v>
      </c>
      <c r="AL39" s="12" t="n">
        <v>3939</v>
      </c>
      <c r="AM39" s="12" t="n">
        <v>4234</v>
      </c>
      <c r="AN39" s="12" t="n">
        <v>4285</v>
      </c>
      <c r="AO39" s="12" t="n">
        <v>3613</v>
      </c>
      <c r="AP39" s="13" t="n">
        <f aca="false">AL39+AM39+AN39+AO39</f>
        <v>16071</v>
      </c>
      <c r="AQ39" s="12" t="n">
        <v>3601</v>
      </c>
      <c r="AR39" s="12" t="n">
        <v>3767</v>
      </c>
      <c r="AS39" s="12" t="n">
        <v>3881</v>
      </c>
      <c r="AT39" s="12" t="n">
        <v>4305</v>
      </c>
      <c r="AU39" s="13" t="n">
        <f aca="false">AQ39+AR39+AS39+AT39</f>
        <v>15554</v>
      </c>
      <c r="AV39" s="12" t="n">
        <v>4308</v>
      </c>
      <c r="AW39" s="12" t="n">
        <v>4598</v>
      </c>
      <c r="AX39" s="12" t="n">
        <v>4910</v>
      </c>
      <c r="AY39" s="12" t="n">
        <v>5297</v>
      </c>
      <c r="AZ39" s="13" t="n">
        <f aca="false">AV39+AW39+AX39+AY39</f>
        <v>19113</v>
      </c>
      <c r="BA39" s="12" t="n">
        <v>5100</v>
      </c>
      <c r="BB39" s="12" t="n">
        <v>5500</v>
      </c>
      <c r="BC39" s="12" t="n">
        <v>5900</v>
      </c>
      <c r="BD39" s="12" t="n">
        <v>6400</v>
      </c>
      <c r="BE39" s="13" t="n">
        <f aca="false">BA39+BB39+BC39+BD39</f>
        <v>22900</v>
      </c>
    </row>
    <row r="40" customFormat="false" ht="15" hidden="false" customHeight="false" outlineLevel="0" collapsed="false">
      <c r="A40" s="10" t="s">
        <v>49</v>
      </c>
      <c r="B40" s="11" t="s">
        <v>23</v>
      </c>
      <c r="C40" s="12" t="n">
        <v>299</v>
      </c>
      <c r="D40" s="12" t="n">
        <v>476</v>
      </c>
      <c r="E40" s="12" t="n">
        <v>577</v>
      </c>
      <c r="F40" s="12" t="n">
        <v>336</v>
      </c>
      <c r="G40" s="13" t="n">
        <f aca="false">C40+D40+E40+F40</f>
        <v>1688</v>
      </c>
      <c r="H40" s="12" t="n">
        <v>359</v>
      </c>
      <c r="I40" s="12" t="n">
        <v>83</v>
      </c>
      <c r="J40" s="12" t="n">
        <v>351</v>
      </c>
      <c r="K40" s="12" t="n">
        <v>-123</v>
      </c>
      <c r="L40" s="13" t="n">
        <f aca="false">H40+I40+J40+K40</f>
        <v>670</v>
      </c>
      <c r="M40" s="12" t="n">
        <v>54</v>
      </c>
      <c r="N40" s="12" t="n">
        <v>-100</v>
      </c>
      <c r="O40" s="12" t="n">
        <v>-398</v>
      </c>
      <c r="P40" s="12" t="n">
        <v>309</v>
      </c>
      <c r="Q40" s="13" t="n">
        <f aca="false">M40+N40+O40+P40</f>
        <v>-135</v>
      </c>
      <c r="R40" s="12" t="n">
        <v>128</v>
      </c>
      <c r="S40" s="12" t="n">
        <v>-188</v>
      </c>
      <c r="T40" s="12" t="n">
        <v>97</v>
      </c>
      <c r="U40" s="12" t="n">
        <v>-1256</v>
      </c>
      <c r="V40" s="13" t="n">
        <f aca="false">R40+S40+T40+U40</f>
        <v>-1219</v>
      </c>
      <c r="W40" s="12" t="n">
        <v>2146</v>
      </c>
      <c r="X40" s="12" t="n">
        <v>2004</v>
      </c>
      <c r="Y40" s="12" t="n">
        <v>-542</v>
      </c>
      <c r="Z40" s="12" t="n">
        <v>317</v>
      </c>
      <c r="AA40" s="13" t="n">
        <f aca="false">W40+X40+Y40+Z40</f>
        <v>3925</v>
      </c>
      <c r="AB40" s="12" t="n">
        <v>-564</v>
      </c>
      <c r="AC40" s="12" t="n">
        <v>306</v>
      </c>
      <c r="AD40" s="12" t="n">
        <v>-661</v>
      </c>
      <c r="AE40" s="12" t="n">
        <v>-1912</v>
      </c>
      <c r="AF40" s="13" t="n">
        <f aca="false">AB40+AC40+AD40+AE40</f>
        <v>-2831</v>
      </c>
      <c r="AG40" s="12" t="n">
        <v>-231</v>
      </c>
      <c r="AH40" s="12" t="n">
        <v>-711</v>
      </c>
      <c r="AI40" s="12" t="n">
        <v>-1128</v>
      </c>
      <c r="AJ40" s="12" t="n">
        <v>1212</v>
      </c>
      <c r="AK40" s="13" t="n">
        <f aca="false">AG40+AH40+AI40+AJ40</f>
        <v>-858</v>
      </c>
      <c r="AL40" s="12" t="n">
        <v>97</v>
      </c>
      <c r="AM40" s="12" t="n">
        <v>-1502</v>
      </c>
      <c r="AN40" s="12" t="n">
        <v>-2255</v>
      </c>
      <c r="AO40" s="12" t="n">
        <v>3151</v>
      </c>
      <c r="AP40" s="13" t="n">
        <f aca="false">AL40+AM40+AN40+AO40</f>
        <v>-509</v>
      </c>
      <c r="AQ40" s="12" t="n">
        <v>2134</v>
      </c>
      <c r="AR40" s="12" t="n">
        <v>2634</v>
      </c>
      <c r="AS40" s="12" t="n">
        <v>902</v>
      </c>
      <c r="AT40" s="12" t="n">
        <v>-1959</v>
      </c>
      <c r="AU40" s="13" t="n">
        <f aca="false">AQ40+AR40+AS40+AT40</f>
        <v>3711</v>
      </c>
      <c r="AV40" s="12" t="n">
        <v>-958</v>
      </c>
      <c r="AW40" s="12" t="n">
        <v>-2448</v>
      </c>
      <c r="AX40" s="12" t="n">
        <v>102</v>
      </c>
      <c r="AY40" s="12" t="n">
        <v>-2548</v>
      </c>
      <c r="AZ40" s="13" t="n">
        <f aca="false">AV40+AW40+AX40+AY40</f>
        <v>-5852</v>
      </c>
      <c r="BA40" s="12" t="n">
        <v>-2367</v>
      </c>
      <c r="BB40" s="12" t="n">
        <v>-375</v>
      </c>
      <c r="BC40" s="12" t="n">
        <v>-1270</v>
      </c>
      <c r="BD40" s="12" t="n">
        <v>-2680</v>
      </c>
      <c r="BE40" s="13" t="n">
        <f aca="false">BA40+BB40+BC40+BD40</f>
        <v>-6692</v>
      </c>
    </row>
    <row r="41" customFormat="false" ht="15" hidden="false" customHeight="false" outlineLevel="0" collapsed="false">
      <c r="A41" s="14" t="s">
        <v>50</v>
      </c>
      <c r="B41" s="11" t="s">
        <v>23</v>
      </c>
      <c r="C41" s="15" t="n">
        <f aca="false">+C37+C38+C39+C40</f>
        <v>1986</v>
      </c>
      <c r="D41" s="15" t="n">
        <f aca="false">+D37+D38+D39+D40</f>
        <v>2435</v>
      </c>
      <c r="E41" s="15" t="n">
        <f aca="false">+E37+E38+E39+E40</f>
        <v>2729</v>
      </c>
      <c r="F41" s="15" t="n">
        <f aca="false">+F37+F38+F39+F40</f>
        <v>3240</v>
      </c>
      <c r="G41" s="15" t="n">
        <f aca="false">+G37+G38+G39+G40</f>
        <v>10390</v>
      </c>
      <c r="H41" s="15" t="n">
        <f aca="false">+H37+H38+H39+H40</f>
        <v>3044</v>
      </c>
      <c r="I41" s="15" t="n">
        <f aca="false">+I37+I38+I39+I40</f>
        <v>3317</v>
      </c>
      <c r="J41" s="15" t="n">
        <f aca="false">+J37+J38+J39+J40</f>
        <v>3699</v>
      </c>
      <c r="K41" s="15" t="n">
        <f aca="false">+K37+K38+K39+K40</f>
        <v>4160</v>
      </c>
      <c r="L41" s="15" t="n">
        <f aca="false">+L37+L38+L39+L40</f>
        <v>14220</v>
      </c>
      <c r="M41" s="15" t="n">
        <f aca="false">+M37+M38+M39+M40</f>
        <v>4158</v>
      </c>
      <c r="N41" s="15" t="n">
        <f aca="false">+N37+N38+N39+N40</f>
        <v>4626</v>
      </c>
      <c r="O41" s="15" t="n">
        <f aca="false">+O37+O38+O39+O40</f>
        <v>4829</v>
      </c>
      <c r="P41" s="15" t="n">
        <f aca="false">+P37+P38+P39+P40</f>
        <v>4116</v>
      </c>
      <c r="Q41" s="15" t="n">
        <f aca="false">+Q37+Q38+Q39+Q40</f>
        <v>17729</v>
      </c>
      <c r="R41" s="15" t="n">
        <f aca="false">+R37+R38+R39+R40</f>
        <v>6578</v>
      </c>
      <c r="S41" s="15" t="n">
        <f aca="false">+S37+S38+S39+S40</f>
        <v>6883</v>
      </c>
      <c r="T41" s="15" t="n">
        <f aca="false">+T37+T38+T39+T40</f>
        <v>7121</v>
      </c>
      <c r="U41" s="15" t="n">
        <f aca="false">+U37+U38+U39+U40</f>
        <v>7322</v>
      </c>
      <c r="V41" s="15" t="n">
        <f aca="false">+V37+V38+V39+V40</f>
        <v>27904</v>
      </c>
      <c r="W41" s="15" t="n">
        <f aca="false">+W37+W38+W39+W40</f>
        <v>8643</v>
      </c>
      <c r="X41" s="15" t="n">
        <f aca="false">+X37+X38+X39+X40</f>
        <v>9798</v>
      </c>
      <c r="Y41" s="15" t="n">
        <f aca="false">+Y37+Y38+Y39+Y40</f>
        <v>8395</v>
      </c>
      <c r="Z41" s="15" t="n">
        <f aca="false">+Z37+Z38+Z39+Z40</f>
        <v>10990</v>
      </c>
      <c r="AA41" s="15" t="n">
        <f aca="false">+AA37+AA38+AA39+AA40</f>
        <v>37826</v>
      </c>
      <c r="AB41" s="15" t="n">
        <f aca="false">+AB37+AB38+AB39+AB40</f>
        <v>8758</v>
      </c>
      <c r="AC41" s="15" t="n">
        <f aca="false">+AC37+AC38+AC39+AC40</f>
        <v>10609</v>
      </c>
      <c r="AD41" s="15" t="n">
        <f aca="false">+AD37+AD38+AD39+AD40</f>
        <v>11284</v>
      </c>
      <c r="AE41" s="15" t="n">
        <f aca="false">+AE37+AE38+AE39+AE40</f>
        <v>13565</v>
      </c>
      <c r="AF41" s="15" t="n">
        <f aca="false">+AF37+AF38+AF39+AF40</f>
        <v>44216</v>
      </c>
      <c r="AG41" s="15" t="n">
        <f aca="false">+AG37+AG38+AG39+AG40</f>
        <v>13874</v>
      </c>
      <c r="AH41" s="15" t="n">
        <f aca="false">+AH37+AH38+AH39+AH40</f>
        <v>15270</v>
      </c>
      <c r="AI41" s="15" t="n">
        <f aca="false">+AI37+AI38+AI39+AI40</f>
        <v>14360</v>
      </c>
      <c r="AJ41" s="15" t="n">
        <f aca="false">+AJ37+AJ38+AJ39+AJ40</f>
        <v>19275</v>
      </c>
      <c r="AK41" s="15" t="n">
        <f aca="false">+AK37+AK38+AK39+AK40</f>
        <v>62779</v>
      </c>
      <c r="AL41" s="15" t="n">
        <f aca="false">+AL37+AL38+AL39+AL40</f>
        <v>12919</v>
      </c>
      <c r="AM41" s="15" t="n">
        <f aca="false">+AM37+AM38+AM39+AM40</f>
        <v>11669</v>
      </c>
      <c r="AN41" s="15" t="n">
        <f aca="false">+AN37+AN38+AN39+AN40</f>
        <v>9147</v>
      </c>
      <c r="AO41" s="15" t="n">
        <f aca="false">+AO37+AO38+AO39+AO40</f>
        <v>16685</v>
      </c>
      <c r="AP41" s="15" t="n">
        <f aca="false">+AP37+AP38+AP39+AP40</f>
        <v>50420</v>
      </c>
      <c r="AQ41" s="15" t="n">
        <f aca="false">+AQ37+AQ38+AQ39+AQ40</f>
        <v>15115</v>
      </c>
      <c r="AR41" s="15" t="n">
        <f aca="false">+AR37+AR38+AR39+AR40</f>
        <v>18253</v>
      </c>
      <c r="AS41" s="15" t="n">
        <f aca="false">+AS37+AS38+AS39+AS40</f>
        <v>17644</v>
      </c>
      <c r="AT41" s="15" t="n">
        <f aca="false">+AT37+AT38+AT39+AT40</f>
        <v>18172</v>
      </c>
      <c r="AU41" s="15" t="n">
        <f aca="false">+AU37+AU38+AU39+AU40</f>
        <v>69184</v>
      </c>
      <c r="AV41" s="15" t="n">
        <f aca="false">+AV37+AV38+AV39+AV40</f>
        <v>17400</v>
      </c>
      <c r="AW41" s="15" t="n">
        <f aca="false">+AW37+AW38+AW39+AW40</f>
        <v>17085</v>
      </c>
      <c r="AX41" s="15" t="n">
        <f aca="false">+AX37+AX38+AX39+AX40</f>
        <v>20920</v>
      </c>
      <c r="AY41" s="15" t="n">
        <f aca="false">+AY37+AY38+AY39+AY40</f>
        <v>21409</v>
      </c>
      <c r="AZ41" s="15" t="n">
        <f aca="false">+AZ37+AZ38+AZ39+AZ40</f>
        <v>76814</v>
      </c>
      <c r="BA41" s="15" t="n">
        <f aca="false">+BA37+BA38+BA39+BA40</f>
        <v>17931</v>
      </c>
      <c r="BB41" s="15" t="n">
        <f aca="false">+BB37+BB38+BB39+BB40</f>
        <v>22964</v>
      </c>
      <c r="BC41" s="15" t="n">
        <f aca="false">+BC37+BC38+BC39+BC40</f>
        <v>24640</v>
      </c>
      <c r="BD41" s="15" t="n">
        <f aca="false">+BD37+BD38+BD39+BD40</f>
        <v>27014</v>
      </c>
      <c r="BE41" s="15" t="n">
        <f aca="false">+BE37+BE38+BE39+BE40</f>
        <v>92549</v>
      </c>
    </row>
    <row r="42" customFormat="false" ht="15" hidden="false" customHeight="false" outlineLevel="0" collapsed="false">
      <c r="A42" s="16" t="s">
        <v>51</v>
      </c>
      <c r="B42" s="11" t="s">
        <v>27</v>
      </c>
      <c r="C42" s="17" t="n">
        <f aca="false">IF(C14=0,0,C41/C14)</f>
        <v>0.560541913632515</v>
      </c>
      <c r="D42" s="17" t="n">
        <f aca="false">IF(D14=0,0,D41/D14)</f>
        <v>0.602424542305789</v>
      </c>
      <c r="E42" s="17" t="n">
        <f aca="false">IF(E14=0,0,E41/E14)</f>
        <v>0.606309708953566</v>
      </c>
      <c r="F42" s="17" t="n">
        <f aca="false">IF(F14=0,0,F41/F14)</f>
        <v>0.554699537750385</v>
      </c>
      <c r="G42" s="17" t="n">
        <f aca="false">IF(G14=0,0,G41/G14)</f>
        <v>0.579572711552407</v>
      </c>
      <c r="H42" s="17" t="n">
        <f aca="false">IF(H14=0,0,H41/H14)</f>
        <v>0.565589000371609</v>
      </c>
      <c r="I42" s="17" t="n">
        <f aca="false">IF(I14=0,0,I41/I14)</f>
        <v>0.515382224984462</v>
      </c>
      <c r="J42" s="17" t="n">
        <f aca="false">IF(J14=0,0,J41/J14)</f>
        <v>0.527599486521181</v>
      </c>
      <c r="K42" s="17" t="n">
        <f aca="false">IF(K14=0,0,K41/K14)</f>
        <v>0.472244295606766</v>
      </c>
      <c r="L42" s="17" t="n">
        <f aca="false">IF(L14=0,0,L41/L14)</f>
        <v>0.514509009334974</v>
      </c>
      <c r="M42" s="17" t="n">
        <f aca="false">IF(M14=0,0,M41/M14)</f>
        <v>0.517679282868526</v>
      </c>
      <c r="N42" s="17" t="n">
        <f aca="false">IF(N14=0,0,N41/N14)</f>
        <v>0.496298680399099</v>
      </c>
      <c r="O42" s="17" t="n">
        <f aca="false">IF(O14=0,0,O41/O14)</f>
        <v>0.467563903950426</v>
      </c>
      <c r="P42" s="17" t="n">
        <f aca="false">IF(P14=0,0,P41/P14)</f>
        <v>0.317298797409806</v>
      </c>
      <c r="Q42" s="17" t="n">
        <f aca="false">IF(Q14=0,0,Q41/Q14)</f>
        <v>0.436105576464222</v>
      </c>
      <c r="R42" s="17" t="n">
        <f aca="false">IF(R14=0,0,R41/R14)</f>
        <v>0.549724218619422</v>
      </c>
      <c r="S42" s="17" t="n">
        <f aca="false">IF(S14=0,0,S41/S14)</f>
        <v>0.520217670622024</v>
      </c>
      <c r="T42" s="17" t="n">
        <f aca="false">IF(T14=0,0,T41/T14)</f>
        <v>0.518758650834123</v>
      </c>
      <c r="U42" s="17" t="n">
        <f aca="false">IF(U14=0,0,U41/U14)</f>
        <v>0.432895825943006</v>
      </c>
      <c r="V42" s="17" t="n">
        <f aca="false">IF(V14=0,0,V41/V14)</f>
        <v>0.499731365736595</v>
      </c>
      <c r="W42" s="17" t="n">
        <f aca="false">IF(W14=0,0,W41/W14)</f>
        <v>0.573257279299595</v>
      </c>
      <c r="X42" s="17" t="n">
        <f aca="false">IF(X14=0,0,X41/X14)</f>
        <v>0.580243989103399</v>
      </c>
      <c r="Y42" s="17" t="n">
        <f aca="false">IF(Y14=0,0,Y41/Y14)</f>
        <v>0.475583503285747</v>
      </c>
      <c r="Z42" s="17" t="n">
        <f aca="false">IF(Z14=0,0,Z41/Z14)</f>
        <v>0.521297789583531</v>
      </c>
      <c r="AA42" s="17" t="n">
        <f aca="false">IF(AA14=0,0,AA41/AA14)</f>
        <v>0.535043919826867</v>
      </c>
      <c r="AB42" s="17" t="n">
        <f aca="false">IF(AB14=0,0,AB41/AB14)</f>
        <v>0.493770085132773</v>
      </c>
      <c r="AC42" s="17" t="n">
        <f aca="false">IF(AC14=0,0,AC41/AC14)</f>
        <v>0.567720875474929</v>
      </c>
      <c r="AD42" s="17" t="n">
        <f aca="false">IF(AD14=0,0,AD41/AD14)</f>
        <v>0.525570563577084</v>
      </c>
      <c r="AE42" s="17" t="n">
        <f aca="false">IF(AE14=0,0,AE41/AE14)</f>
        <v>0.483221715588487</v>
      </c>
      <c r="AF42" s="17" t="n">
        <f aca="false">IF(AF14=0,0,AF41/AF14)</f>
        <v>0.514342879743154</v>
      </c>
      <c r="AG42" s="17" t="n">
        <f aca="false">IF(AG14=0,0,AG41/AG14)</f>
        <v>0.5301287684842</v>
      </c>
      <c r="AH42" s="17" t="n">
        <f aca="false">IF(AH14=0,0,AH41/AH14)</f>
        <v>0.525157340853596</v>
      </c>
      <c r="AI42" s="17" t="n">
        <f aca="false">IF(AI14=0,0,AI41/AI14)</f>
        <v>0.495001723543606</v>
      </c>
      <c r="AJ42" s="17" t="n">
        <f aca="false">IF(AJ14=0,0,AJ41/AJ14)</f>
        <v>0.572451070654272</v>
      </c>
      <c r="AK42" s="17" t="n">
        <f aca="false">IF(AK14=0,0,AK41/AK14)</f>
        <v>0.532345733449788</v>
      </c>
      <c r="AL42" s="17" t="n">
        <f aca="false">IF(AL14=0,0,AL41/AL14)</f>
        <v>0.46291385982514</v>
      </c>
      <c r="AM42" s="17" t="n">
        <f aca="false">IF(AM14=0,0,AM41/AM14)</f>
        <v>0.404864339740476</v>
      </c>
      <c r="AN42" s="17" t="n">
        <f aca="false">IF(AN14=0,0,AN41/AN14)</f>
        <v>0.330049794327777</v>
      </c>
      <c r="AO42" s="17" t="n">
        <f aca="false">IF(AO14=0,0,AO41/AO14)</f>
        <v>0.518731540494326</v>
      </c>
      <c r="AP42" s="17" t="n">
        <f aca="false">IF(AP14=0,0,AP41/AP14)</f>
        <v>0.432385150374328</v>
      </c>
      <c r="AQ42" s="17" t="n">
        <f aca="false">IF(AQ14=0,0,AQ41/AQ14)</f>
        <v>0.527666259382091</v>
      </c>
      <c r="AR42" s="17" t="n">
        <f aca="false">IF(AR14=0,0,AR41/AR14)</f>
        <v>0.570424075752367</v>
      </c>
      <c r="AS42" s="17" t="n">
        <f aca="false">IF(AS14=0,0,AS41/AS14)</f>
        <v>0.516722310080244</v>
      </c>
      <c r="AT42" s="17" t="n">
        <f aca="false">IF(AT14=0,0,AT41/AT14)</f>
        <v>0.45304280621276</v>
      </c>
      <c r="AU42" s="17" t="n">
        <f aca="false">IF(AU14=0,0,AU41/AU14)</f>
        <v>0.512850164194483</v>
      </c>
      <c r="AV42" s="17" t="n">
        <f aca="false">IF(AV14=0,0,AV41/AV14)</f>
        <v>0.477300781785763</v>
      </c>
      <c r="AW42" s="17" t="n">
        <f aca="false">IF(AW14=0,0,AW41/AW14)</f>
        <v>0.437280847687543</v>
      </c>
      <c r="AX42" s="17" t="n">
        <f aca="false">IF(AX14=0,0,AX41/AX14)</f>
        <v>0.515410579220971</v>
      </c>
      <c r="AY42" s="17" t="n">
        <f aca="false">IF(AY14=0,0,AY41/AY14)</f>
        <v>0.442471840446419</v>
      </c>
      <c r="AZ42" s="17" t="n">
        <f aca="false">IF(AZ14=0,0,AZ41/AZ14)</f>
        <v>0.466954407294833</v>
      </c>
      <c r="BA42" s="17" t="n">
        <f aca="false">IF(BA14=0,0,BA41/BA14)</f>
        <v>0.423760457531786</v>
      </c>
      <c r="BB42" s="17" t="n">
        <f aca="false">IF(BB14=0,0,BB41/BB14)</f>
        <v>0.48327966832923</v>
      </c>
      <c r="BC42" s="17" t="n">
        <f aca="false">IF(BC14=0,0,BC41/BC14)</f>
        <v>0.473846153846154</v>
      </c>
      <c r="BD42" s="17" t="n">
        <f aca="false">IF(BD14=0,0,BD41/BD14)</f>
        <v>0.451030153270778</v>
      </c>
      <c r="BE42" s="17" t="n">
        <f aca="false">IF(BE14=0,0,BE41/BE14)</f>
        <v>0.458787953897633</v>
      </c>
    </row>
    <row r="44" customFormat="false" ht="15" hidden="false" customHeight="false" outlineLevel="0" collapsed="false">
      <c r="A44" s="10" t="s">
        <v>52</v>
      </c>
      <c r="B44" s="11" t="s">
        <v>23</v>
      </c>
      <c r="C44" s="12" t="n">
        <v>502</v>
      </c>
      <c r="D44" s="12" t="n">
        <v>571</v>
      </c>
      <c r="E44" s="12" t="n">
        <v>644</v>
      </c>
      <c r="F44" s="12" t="n">
        <v>710</v>
      </c>
      <c r="G44" s="13" t="n">
        <f aca="false">C44+D44+E44+F44</f>
        <v>2427</v>
      </c>
      <c r="H44" s="12" t="n">
        <v>758</v>
      </c>
      <c r="I44" s="12" t="n">
        <v>923</v>
      </c>
      <c r="J44" s="12" t="n">
        <v>1129</v>
      </c>
      <c r="K44" s="12" t="n">
        <v>1315</v>
      </c>
      <c r="L44" s="13" t="n">
        <f aca="false">H44+I44+J44+K44</f>
        <v>4125</v>
      </c>
      <c r="M44" s="12" t="n">
        <v>1373</v>
      </c>
      <c r="N44" s="12" t="n">
        <v>1500</v>
      </c>
      <c r="O44" s="12" t="n">
        <v>1613</v>
      </c>
      <c r="P44" s="12" t="n">
        <v>1753</v>
      </c>
      <c r="Q44" s="13" t="n">
        <f aca="false">M44+N44+O44+P44</f>
        <v>6239</v>
      </c>
      <c r="R44" s="12" t="n">
        <v>2523</v>
      </c>
      <c r="S44" s="12" t="n">
        <v>3463</v>
      </c>
      <c r="T44" s="12" t="n">
        <v>3530</v>
      </c>
      <c r="U44" s="12" t="n">
        <v>4544</v>
      </c>
      <c r="V44" s="13" t="n">
        <f aca="false">R44+S44+T44+U44</f>
        <v>14060</v>
      </c>
      <c r="W44" s="12" t="n">
        <v>3946</v>
      </c>
      <c r="X44" s="12" t="n">
        <v>3816</v>
      </c>
      <c r="Y44" s="12" t="n">
        <v>4071</v>
      </c>
      <c r="Z44" s="12" t="n">
        <v>4564</v>
      </c>
      <c r="AA44" s="13" t="n">
        <f aca="false">W44+X44+Y44+Z44</f>
        <v>16397</v>
      </c>
      <c r="AB44" s="12" t="n">
        <v>3414</v>
      </c>
      <c r="AC44" s="12" t="n">
        <v>2803</v>
      </c>
      <c r="AD44" s="12" t="n">
        <v>3672</v>
      </c>
      <c r="AE44" s="12" t="n">
        <v>4834</v>
      </c>
      <c r="AF44" s="13" t="n">
        <f aca="false">AB44+AC44+AD44+AE44</f>
        <v>14723</v>
      </c>
      <c r="AG44" s="12" t="n">
        <v>4382</v>
      </c>
      <c r="AH44" s="12" t="n">
        <v>4513</v>
      </c>
      <c r="AI44" s="12" t="n">
        <v>4901</v>
      </c>
      <c r="AJ44" s="12" t="n">
        <v>5403</v>
      </c>
      <c r="AK44" s="13" t="n">
        <f aca="false">AG44+AH44+AI44+AJ44</f>
        <v>19199</v>
      </c>
      <c r="AL44" s="12" t="n">
        <v>5717</v>
      </c>
      <c r="AM44" s="12" t="n">
        <v>7592</v>
      </c>
      <c r="AN44" s="12" t="n">
        <v>9350</v>
      </c>
      <c r="AO44" s="12" t="n">
        <v>8398</v>
      </c>
      <c r="AP44" s="13" t="n">
        <f aca="false">AL44+AM44+AN44+AO44</f>
        <v>31057</v>
      </c>
      <c r="AQ44" s="12" t="n">
        <v>6823</v>
      </c>
      <c r="AR44" s="12" t="n">
        <v>6350</v>
      </c>
      <c r="AS44" s="12" t="n">
        <v>6716</v>
      </c>
      <c r="AT44" s="12" t="n">
        <v>7156</v>
      </c>
      <c r="AU44" s="13" t="n">
        <f aca="false">AQ44+AR44+AS44+AT44</f>
        <v>27045</v>
      </c>
      <c r="AV44" s="12" t="n">
        <v>6720</v>
      </c>
      <c r="AW44" s="12" t="n">
        <v>8173</v>
      </c>
      <c r="AX44" s="12" t="n">
        <v>9196</v>
      </c>
      <c r="AY44" s="12" t="n">
        <v>13167</v>
      </c>
      <c r="AZ44" s="13" t="n">
        <f aca="false">AV44+AW44+AX44+AY44</f>
        <v>37256</v>
      </c>
      <c r="BA44" s="12" t="n">
        <v>13696</v>
      </c>
      <c r="BB44" s="12" t="n">
        <v>17920</v>
      </c>
      <c r="BC44" s="12" t="n">
        <v>19370</v>
      </c>
      <c r="BD44" s="12" t="n">
        <v>18705</v>
      </c>
      <c r="BE44" s="13" t="n">
        <f aca="false">BA44+BB44+BC44+BD44</f>
        <v>69691</v>
      </c>
    </row>
    <row r="45" customFormat="false" ht="15" hidden="false" customHeight="false" outlineLevel="0" collapsed="false">
      <c r="A45" s="14" t="s">
        <v>53</v>
      </c>
      <c r="B45" s="11" t="s">
        <v>23</v>
      </c>
      <c r="C45" s="19" t="n">
        <f aca="false">+C41-C44</f>
        <v>1484</v>
      </c>
      <c r="D45" s="19" t="n">
        <f aca="false">+D41-D44</f>
        <v>1864</v>
      </c>
      <c r="E45" s="19" t="n">
        <f aca="false">+E41-E44</f>
        <v>2085</v>
      </c>
      <c r="F45" s="19" t="n">
        <f aca="false">+F41-F44</f>
        <v>2530</v>
      </c>
      <c r="G45" s="19" t="n">
        <f aca="false">+G41-G44</f>
        <v>7963</v>
      </c>
      <c r="H45" s="19" t="n">
        <f aca="false">+H41-H44</f>
        <v>2286</v>
      </c>
      <c r="I45" s="19" t="n">
        <f aca="false">+I41-I44</f>
        <v>2394</v>
      </c>
      <c r="J45" s="19" t="n">
        <f aca="false">+J41-J44</f>
        <v>2570</v>
      </c>
      <c r="K45" s="19" t="n">
        <f aca="false">+K41-K44</f>
        <v>2845</v>
      </c>
      <c r="L45" s="19" t="n">
        <f aca="false">+L41-L44</f>
        <v>10095</v>
      </c>
      <c r="M45" s="19" t="n">
        <f aca="false">+M41-M44</f>
        <v>2785</v>
      </c>
      <c r="N45" s="19" t="n">
        <f aca="false">+N41-N44</f>
        <v>3126</v>
      </c>
      <c r="O45" s="19" t="n">
        <f aca="false">+O41-O44</f>
        <v>3216</v>
      </c>
      <c r="P45" s="19" t="n">
        <f aca="false">+P41-P44</f>
        <v>2363</v>
      </c>
      <c r="Q45" s="19" t="n">
        <f aca="false">+Q41-Q44</f>
        <v>11490</v>
      </c>
      <c r="R45" s="19" t="n">
        <f aca="false">+R41-R44</f>
        <v>4055</v>
      </c>
      <c r="S45" s="19" t="n">
        <f aca="false">+S41-S44</f>
        <v>3420</v>
      </c>
      <c r="T45" s="19" t="n">
        <f aca="false">+T41-T44</f>
        <v>3591</v>
      </c>
      <c r="U45" s="19" t="n">
        <f aca="false">+U41-U44</f>
        <v>2778</v>
      </c>
      <c r="V45" s="19" t="n">
        <f aca="false">+V41-V44</f>
        <v>13844</v>
      </c>
      <c r="W45" s="19" t="n">
        <f aca="false">+W41-W44</f>
        <v>4697</v>
      </c>
      <c r="X45" s="19" t="n">
        <f aca="false">+X41-X44</f>
        <v>5982</v>
      </c>
      <c r="Y45" s="19" t="n">
        <f aca="false">+Y41-Y44</f>
        <v>4324</v>
      </c>
      <c r="Z45" s="19" t="n">
        <f aca="false">+Z41-Z44</f>
        <v>6426</v>
      </c>
      <c r="AA45" s="19" t="n">
        <f aca="false">+AA41-AA44</f>
        <v>21429</v>
      </c>
      <c r="AB45" s="19" t="n">
        <f aca="false">+AB41-AB44</f>
        <v>5344</v>
      </c>
      <c r="AC45" s="19" t="n">
        <f aca="false">+AC41-AC44</f>
        <v>7806</v>
      </c>
      <c r="AD45" s="19" t="n">
        <f aca="false">+AD41-AD44</f>
        <v>7612</v>
      </c>
      <c r="AE45" s="19" t="n">
        <f aca="false">+AE41-AE44</f>
        <v>8731</v>
      </c>
      <c r="AF45" s="19" t="n">
        <f aca="false">+AF41-AF44</f>
        <v>29493</v>
      </c>
      <c r="AG45" s="19" t="n">
        <f aca="false">+AG41-AG44</f>
        <v>9492</v>
      </c>
      <c r="AH45" s="19" t="n">
        <f aca="false">+AH41-AH44</f>
        <v>10757</v>
      </c>
      <c r="AI45" s="19" t="n">
        <f aca="false">+AI41-AI44</f>
        <v>9459</v>
      </c>
      <c r="AJ45" s="19" t="n">
        <f aca="false">+AJ41-AJ44</f>
        <v>13872</v>
      </c>
      <c r="AK45" s="19" t="n">
        <f aca="false">+AK41-AK44</f>
        <v>43580</v>
      </c>
      <c r="AL45" s="19" t="n">
        <f aca="false">+AL41-AL44</f>
        <v>7202</v>
      </c>
      <c r="AM45" s="19" t="n">
        <f aca="false">+AM41-AM44</f>
        <v>4077</v>
      </c>
      <c r="AN45" s="19" t="n">
        <f aca="false">+AN41-AN44</f>
        <v>-203</v>
      </c>
      <c r="AO45" s="19" t="n">
        <f aca="false">+AO41-AO44</f>
        <v>8287</v>
      </c>
      <c r="AP45" s="19" t="n">
        <f aca="false">+AP41-AP44</f>
        <v>19363</v>
      </c>
      <c r="AQ45" s="19" t="n">
        <f aca="false">+AQ41-AQ44</f>
        <v>8292</v>
      </c>
      <c r="AR45" s="19" t="n">
        <f aca="false">+AR41-AR44</f>
        <v>11903</v>
      </c>
      <c r="AS45" s="19" t="n">
        <f aca="false">+AS41-AS44</f>
        <v>10928</v>
      </c>
      <c r="AT45" s="19" t="n">
        <f aca="false">+AT41-AT44</f>
        <v>11016</v>
      </c>
      <c r="AU45" s="19" t="n">
        <f aca="false">+AU41-AU44</f>
        <v>42139</v>
      </c>
      <c r="AV45" s="19" t="n">
        <f aca="false">+AV41-AV44</f>
        <v>10680</v>
      </c>
      <c r="AW45" s="19" t="n">
        <f aca="false">+AW41-AW44</f>
        <v>8912</v>
      </c>
      <c r="AX45" s="19" t="n">
        <f aca="false">+AX41-AX44</f>
        <v>11724</v>
      </c>
      <c r="AY45" s="19" t="n">
        <f aca="false">+AY41-AY44</f>
        <v>8242</v>
      </c>
      <c r="AZ45" s="19" t="n">
        <f aca="false">+AZ41-AZ44</f>
        <v>39558</v>
      </c>
      <c r="BA45" s="19" t="n">
        <f aca="false">+BA41-BA44</f>
        <v>4235</v>
      </c>
      <c r="BB45" s="19" t="n">
        <f aca="false">+BB41-BB44</f>
        <v>5044</v>
      </c>
      <c r="BC45" s="19" t="n">
        <f aca="false">+BC41-BC44</f>
        <v>5270</v>
      </c>
      <c r="BD45" s="19" t="n">
        <f aca="false">+BD41-BD44</f>
        <v>8309</v>
      </c>
      <c r="BE45" s="19" t="n">
        <f aca="false">+BE41-BE44</f>
        <v>22858</v>
      </c>
    </row>
    <row r="46" customFormat="false" ht="15" hidden="false" customHeight="false" outlineLevel="0" collapsed="false">
      <c r="A46" s="14" t="s">
        <v>54</v>
      </c>
      <c r="B46" s="11" t="s">
        <v>27</v>
      </c>
      <c r="C46" s="22" t="n">
        <f aca="false">IF(C14=0,0,C45/C14)</f>
        <v>0.418854078464578</v>
      </c>
      <c r="D46" s="22" t="n">
        <f aca="false">IF(D14=0,0,D45/D14)</f>
        <v>0.461157842652152</v>
      </c>
      <c r="E46" s="22" t="n">
        <f aca="false">IF(E14=0,0,E45/E14)</f>
        <v>0.463230393245945</v>
      </c>
      <c r="F46" s="22" t="n">
        <f aca="false">IF(F14=0,0,F45/F14)</f>
        <v>0.433145009416196</v>
      </c>
      <c r="G46" s="22" t="n">
        <f aca="false">IF(G14=0,0,G45/G14)</f>
        <v>0.444190327439058</v>
      </c>
      <c r="H46" s="22" t="n">
        <f aca="false">IF(H14=0,0,H45/H14)</f>
        <v>0.424749163879599</v>
      </c>
      <c r="I46" s="22" t="n">
        <f aca="false">IF(I14=0,0,I45/I14)</f>
        <v>0.371970167806091</v>
      </c>
      <c r="J46" s="22" t="n">
        <f aca="false">IF(J14=0,0,J45/J14)</f>
        <v>0.366566823562973</v>
      </c>
      <c r="K46" s="22" t="n">
        <f aca="false">IF(K14=0,0,K45/K14)</f>
        <v>0.322965149279146</v>
      </c>
      <c r="L46" s="22" t="n">
        <f aca="false">IF(L14=0,0,L45/L14)</f>
        <v>0.365257978146031</v>
      </c>
      <c r="M46" s="22" t="n">
        <f aca="false">IF(M14=0,0,M45/M14)</f>
        <v>0.346738047808765</v>
      </c>
      <c r="N46" s="22" t="n">
        <f aca="false">IF(N14=0,0,N45/N14)</f>
        <v>0.335371741229482</v>
      </c>
      <c r="O46" s="22" t="n">
        <f aca="false">IF(O14=0,0,O45/O14)</f>
        <v>0.31138652207591</v>
      </c>
      <c r="P46" s="22" t="n">
        <f aca="false">IF(P14=0,0,P45/P14)</f>
        <v>0.182161578785076</v>
      </c>
      <c r="Q46" s="22" t="n">
        <f aca="false">IF(Q14=0,0,Q45/Q14)</f>
        <v>0.282635967825253</v>
      </c>
      <c r="R46" s="22" t="n">
        <f aca="false">IF(R14=0,0,R45/R14)</f>
        <v>0.338876817650008</v>
      </c>
      <c r="S46" s="22" t="n">
        <f aca="false">IF(S14=0,0,S45/S14)</f>
        <v>0.258483863653541</v>
      </c>
      <c r="T46" s="22" t="n">
        <f aca="false">IF(T14=0,0,T45/T14)</f>
        <v>0.261601223865375</v>
      </c>
      <c r="U46" s="22" t="n">
        <f aca="false">IF(U14=0,0,U45/U14)</f>
        <v>0.164242639233771</v>
      </c>
      <c r="V46" s="22" t="n">
        <f aca="false">IF(V14=0,0,V45/V14)</f>
        <v>0.247931516171783</v>
      </c>
      <c r="W46" s="22" t="n">
        <f aca="false">IF(W14=0,0,W45/W14)</f>
        <v>0.311534124825894</v>
      </c>
      <c r="X46" s="22" t="n">
        <f aca="false">IF(X14=0,0,X45/X14)</f>
        <v>0.354257965178254</v>
      </c>
      <c r="Y46" s="22" t="n">
        <f aca="false">IF(Y14=0,0,Y45/Y14)</f>
        <v>0.244958078404713</v>
      </c>
      <c r="Z46" s="22" t="n">
        <f aca="false">IF(Z14=0,0,Z45/Z14)</f>
        <v>0.304809790342472</v>
      </c>
      <c r="AA46" s="22" t="n">
        <f aca="false">IF(AA14=0,0,AA45/AA14)</f>
        <v>0.303110457303705</v>
      </c>
      <c r="AB46" s="22" t="n">
        <f aca="false">IF(AB14=0,0,AB45/AB14)</f>
        <v>0.301291086429498</v>
      </c>
      <c r="AC46" s="22" t="n">
        <f aca="false">IF(AC14=0,0,AC45/AC14)</f>
        <v>0.417723551131803</v>
      </c>
      <c r="AD46" s="22" t="n">
        <f aca="false">IF(AD14=0,0,AD45/AD14)</f>
        <v>0.354541220307406</v>
      </c>
      <c r="AE46" s="22" t="n">
        <f aca="false">IF(AE14=0,0,AE45/AE14)</f>
        <v>0.311021658592192</v>
      </c>
      <c r="AF46" s="22" t="n">
        <f aca="false">IF(AF14=0,0,AF45/AF14)</f>
        <v>0.343077495754135</v>
      </c>
      <c r="AG46" s="22" t="n">
        <f aca="false">IF(AG14=0,0,AG45/AG14)</f>
        <v>0.36269152879141</v>
      </c>
      <c r="AH46" s="22" t="n">
        <f aca="false">IF(AH14=0,0,AH45/AH14)</f>
        <v>0.369948756749321</v>
      </c>
      <c r="AI46" s="22" t="n">
        <f aca="false">IF(AI14=0,0,AI45/AI14)</f>
        <v>0.326059979317477</v>
      </c>
      <c r="AJ46" s="22" t="n">
        <f aca="false">IF(AJ14=0,0,AJ45/AJ14)</f>
        <v>0.411986575985269</v>
      </c>
      <c r="AK46" s="22" t="n">
        <f aca="false">IF(AK14=0,0,AK45/AK14)</f>
        <v>0.36954438687685</v>
      </c>
      <c r="AL46" s="22" t="n">
        <f aca="false">IF(AL14=0,0,AL45/AL14)</f>
        <v>0.258062204385839</v>
      </c>
      <c r="AM46" s="22" t="n">
        <f aca="false">IF(AM14=0,0,AM45/AM14)</f>
        <v>0.141454444521546</v>
      </c>
      <c r="AN46" s="22" t="n">
        <f aca="false">IF(AN14=0,0,AN45/AN14)</f>
        <v>-0.00732481778162662</v>
      </c>
      <c r="AO46" s="22" t="n">
        <f aca="false">IF(AO14=0,0,AO45/AO14)</f>
        <v>0.257640292243121</v>
      </c>
      <c r="AP46" s="22" t="n">
        <f aca="false">IF(AP14=0,0,AP45/AP14)</f>
        <v>0.166050647891672</v>
      </c>
      <c r="AQ46" s="22" t="n">
        <f aca="false">IF(AQ14=0,0,AQ45/AQ14)</f>
        <v>0.289474602897539</v>
      </c>
      <c r="AR46" s="22" t="n">
        <f aca="false">IF(AR14=0,0,AR45/AR14)</f>
        <v>0.3719803743867</v>
      </c>
      <c r="AS46" s="22" t="n">
        <f aca="false">IF(AS14=0,0,AS45/AS14)</f>
        <v>0.320037486089147</v>
      </c>
      <c r="AT46" s="22" t="n">
        <f aca="false">IF(AT14=0,0,AT45/AT14)</f>
        <v>0.274637879883324</v>
      </c>
      <c r="AU46" s="22" t="n">
        <f aca="false">IF(AU14=0,0,AU45/AU14)</f>
        <v>0.312369811936161</v>
      </c>
      <c r="AV46" s="22" t="n">
        <f aca="false">IF(AV14=0,0,AV45/AV14)</f>
        <v>0.292963928130572</v>
      </c>
      <c r="AW46" s="22" t="n">
        <f aca="false">IF(AW14=0,0,AW45/AW14)</f>
        <v>0.228097565969645</v>
      </c>
      <c r="AX46" s="22" t="n">
        <f aca="false">IF(AX14=0,0,AX45/AX14)</f>
        <v>0.288846731873168</v>
      </c>
      <c r="AY46" s="22" t="n">
        <f aca="false">IF(AY14=0,0,AY45/AY14)</f>
        <v>0.17034204815542</v>
      </c>
      <c r="AZ46" s="22" t="n">
        <f aca="false">IF(AZ14=0,0,AZ45/AZ14)</f>
        <v>0.240474164133739</v>
      </c>
      <c r="BA46" s="22" t="n">
        <f aca="false">IF(BA14=0,0,BA45/BA14)</f>
        <v>0.100085078224701</v>
      </c>
      <c r="BB46" s="22" t="n">
        <f aca="false">IF(BB14=0,0,BB45/BB14)</f>
        <v>0.10615148262727</v>
      </c>
      <c r="BC46" s="22" t="n">
        <f aca="false">IF(BC14=0,0,BC45/BC14)</f>
        <v>0.101346153846154</v>
      </c>
      <c r="BD46" s="22" t="n">
        <f aca="false">IF(BD14=0,0,BD45/BD14)</f>
        <v>0.138728420209036</v>
      </c>
      <c r="BE46" s="22" t="n">
        <f aca="false">IF(BE14=0,0,BE45/BE14)</f>
        <v>0.113312678150948</v>
      </c>
    </row>
  </sheetData>
  <mergeCells count="16">
    <mergeCell ref="A1:F1"/>
    <mergeCell ref="A2:F2"/>
    <mergeCell ref="C4:G4"/>
    <mergeCell ref="H4:L4"/>
    <mergeCell ref="M4:Q4"/>
    <mergeCell ref="R4:V4"/>
    <mergeCell ref="W4:AA4"/>
    <mergeCell ref="AB4:AF4"/>
    <mergeCell ref="AG4:AK4"/>
    <mergeCell ref="AL4:AP4"/>
    <mergeCell ref="AQ4:AU4"/>
    <mergeCell ref="AV4:AZ4"/>
    <mergeCell ref="BA4:BE4"/>
    <mergeCell ref="A7:B7"/>
    <mergeCell ref="A13:B13"/>
    <mergeCell ref="A36:B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221"/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12" min="2" style="0" width="14"/>
  </cols>
  <sheetData>
    <row r="1" customFormat="false" ht="17.35" hidden="false" customHeight="false" outlineLevel="0" collapsed="false">
      <c r="A1" s="1" t="s">
        <v>55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56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4" t="s">
        <v>57</v>
      </c>
      <c r="B4" s="25" t="s">
        <v>3</v>
      </c>
      <c r="C4" s="25" t="s">
        <v>4</v>
      </c>
      <c r="D4" s="25" t="s">
        <v>5</v>
      </c>
      <c r="E4" s="25" t="s">
        <v>6</v>
      </c>
      <c r="F4" s="25" t="s">
        <v>7</v>
      </c>
      <c r="G4" s="25" t="s">
        <v>8</v>
      </c>
      <c r="H4" s="25" t="s">
        <v>9</v>
      </c>
      <c r="I4" s="25" t="s">
        <v>10</v>
      </c>
      <c r="J4" s="25" t="s">
        <v>11</v>
      </c>
      <c r="K4" s="25" t="s">
        <v>12</v>
      </c>
      <c r="L4" s="25" t="s">
        <v>13</v>
      </c>
    </row>
    <row r="5" customFormat="false" ht="15" hidden="false" customHeight="false" outlineLevel="0" collapsed="false">
      <c r="A5" s="14" t="s">
        <v>29</v>
      </c>
      <c r="B5" s="12" t="n">
        <v>17927</v>
      </c>
      <c r="C5" s="12" t="n">
        <v>27638</v>
      </c>
      <c r="D5" s="12" t="n">
        <v>40653</v>
      </c>
      <c r="E5" s="12" t="n">
        <v>55838</v>
      </c>
      <c r="F5" s="12" t="n">
        <v>70697</v>
      </c>
      <c r="G5" s="12" t="n">
        <v>85966</v>
      </c>
      <c r="H5" s="12" t="n">
        <v>117929</v>
      </c>
      <c r="I5" s="12" t="n">
        <v>116609</v>
      </c>
      <c r="J5" s="12" t="n">
        <v>134901</v>
      </c>
      <c r="K5" s="12" t="n">
        <v>164500</v>
      </c>
      <c r="L5" s="12" t="n">
        <v>201725</v>
      </c>
    </row>
    <row r="6" customFormat="false" ht="15" hidden="false" customHeight="false" outlineLevel="0" collapsed="false">
      <c r="A6" s="21" t="s">
        <v>58</v>
      </c>
      <c r="B6" s="26"/>
      <c r="C6" s="26" t="n">
        <v>0.541696881798405</v>
      </c>
      <c r="D6" s="26" t="n">
        <v>0.470909617193719</v>
      </c>
      <c r="E6" s="26" t="n">
        <v>0.37352716896662</v>
      </c>
      <c r="F6" s="26" t="n">
        <v>0.266109101328844</v>
      </c>
      <c r="G6" s="26" t="n">
        <v>0.215978047159003</v>
      </c>
      <c r="H6" s="26" t="n">
        <v>0.371809785263942</v>
      </c>
      <c r="I6" s="26" t="n">
        <v>-0.011193175554783</v>
      </c>
      <c r="J6" s="26" t="n">
        <v>0.156866108104863</v>
      </c>
      <c r="K6" s="26" t="n">
        <v>0.219412754538513</v>
      </c>
      <c r="L6" s="26" t="n">
        <v>0.22629179331307</v>
      </c>
    </row>
    <row r="7" customFormat="false" ht="15" hidden="false" customHeight="false" outlineLevel="0" collapsed="false">
      <c r="A7" s="14" t="s">
        <v>31</v>
      </c>
      <c r="B7" s="20" t="n">
        <v>14721</v>
      </c>
      <c r="C7" s="20" t="n">
        <v>22805</v>
      </c>
      <c r="D7" s="20" t="n">
        <v>33147</v>
      </c>
      <c r="E7" s="20" t="n">
        <v>45103</v>
      </c>
      <c r="F7" s="20" t="n">
        <v>56640</v>
      </c>
      <c r="G7" s="20" t="n">
        <v>69193</v>
      </c>
      <c r="H7" s="20" t="n">
        <v>95047</v>
      </c>
      <c r="I7" s="20" t="n">
        <v>84820</v>
      </c>
      <c r="J7" s="20" t="n">
        <v>104711</v>
      </c>
      <c r="K7" s="20" t="n">
        <v>127990</v>
      </c>
      <c r="L7" s="20" t="n">
        <v>150781</v>
      </c>
    </row>
    <row r="8" customFormat="false" ht="15" hidden="false" customHeight="false" outlineLevel="0" collapsed="false">
      <c r="A8" s="21" t="s">
        <v>32</v>
      </c>
      <c r="B8" s="26" t="n">
        <v>0.821163607965639</v>
      </c>
      <c r="C8" s="26" t="n">
        <v>0.82513206454881</v>
      </c>
      <c r="D8" s="26" t="n">
        <v>0.815364179765331</v>
      </c>
      <c r="E8" s="26" t="n">
        <v>0.807747412156596</v>
      </c>
      <c r="F8" s="26" t="n">
        <v>0.801165537434403</v>
      </c>
      <c r="G8" s="26" t="n">
        <v>0.804887978968429</v>
      </c>
      <c r="H8" s="26" t="n">
        <v>0.805967997693527</v>
      </c>
      <c r="I8" s="26" t="n">
        <v>0.727388108979581</v>
      </c>
      <c r="J8" s="26" t="n">
        <v>0.776206254957339</v>
      </c>
      <c r="K8" s="26" t="n">
        <v>0.778054711246201</v>
      </c>
      <c r="L8" s="26" t="n">
        <v>0.74745817325567</v>
      </c>
    </row>
    <row r="9" customFormat="false" ht="15" hidden="false" customHeight="false" outlineLevel="0" collapsed="false">
      <c r="A9" s="14" t="s">
        <v>38</v>
      </c>
      <c r="B9" s="20" t="n">
        <v>5849</v>
      </c>
      <c r="C9" s="20" t="n">
        <v>10622</v>
      </c>
      <c r="D9" s="20" t="n">
        <v>17725</v>
      </c>
      <c r="E9" s="20" t="n">
        <v>20995</v>
      </c>
      <c r="F9" s="20" t="n">
        <v>24127</v>
      </c>
      <c r="G9" s="20" t="n">
        <v>33350</v>
      </c>
      <c r="H9" s="20" t="n">
        <v>49502</v>
      </c>
      <c r="I9" s="20" t="n">
        <v>28364</v>
      </c>
      <c r="J9" s="20" t="n">
        <v>48585</v>
      </c>
      <c r="K9" s="20" t="n">
        <v>63409</v>
      </c>
      <c r="L9" s="20" t="n">
        <v>72594</v>
      </c>
    </row>
    <row r="10" customFormat="false" ht="15" hidden="false" customHeight="false" outlineLevel="0" collapsed="false">
      <c r="A10" s="21" t="s">
        <v>39</v>
      </c>
      <c r="B10" s="26" t="n">
        <v>0.326267640988453</v>
      </c>
      <c r="C10" s="26" t="n">
        <v>0.384325928070049</v>
      </c>
      <c r="D10" s="26" t="n">
        <v>0.436007182741741</v>
      </c>
      <c r="E10" s="26" t="n">
        <v>0.375998424012321</v>
      </c>
      <c r="F10" s="26" t="n">
        <v>0.341273321357342</v>
      </c>
      <c r="G10" s="26" t="n">
        <v>0.387944070911756</v>
      </c>
      <c r="H10" s="26" t="n">
        <v>0.419761042661262</v>
      </c>
      <c r="I10" s="26" t="n">
        <v>0.243240230170913</v>
      </c>
      <c r="J10" s="26" t="n">
        <v>0.360153001089688</v>
      </c>
      <c r="K10" s="26" t="n">
        <v>0.385465045592705</v>
      </c>
      <c r="L10" s="26" t="n">
        <v>0.359866154418144</v>
      </c>
    </row>
    <row r="11" customFormat="false" ht="15" hidden="false" customHeight="false" outlineLevel="0" collapsed="false">
      <c r="A11" s="14" t="s">
        <v>44</v>
      </c>
      <c r="B11" s="12" t="n">
        <v>3689</v>
      </c>
      <c r="C11" s="12" t="n">
        <v>9512</v>
      </c>
      <c r="D11" s="12" t="n">
        <v>15933</v>
      </c>
      <c r="E11" s="12" t="n">
        <v>22113</v>
      </c>
      <c r="F11" s="12" t="n">
        <v>18485</v>
      </c>
      <c r="G11" s="12" t="n">
        <v>29145</v>
      </c>
      <c r="H11" s="12" t="n">
        <v>39370</v>
      </c>
      <c r="I11" s="12" t="n">
        <v>23199</v>
      </c>
      <c r="J11" s="12" t="n">
        <v>39097</v>
      </c>
      <c r="K11" s="12" t="n">
        <v>62360</v>
      </c>
      <c r="L11" s="12" t="n">
        <v>78109</v>
      </c>
    </row>
    <row r="12" customFormat="false" ht="15" hidden="false" customHeight="false" outlineLevel="0" collapsed="false">
      <c r="A12" s="21" t="s">
        <v>45</v>
      </c>
      <c r="B12" s="26" t="n">
        <v>0.205778992581023</v>
      </c>
      <c r="C12" s="26" t="n">
        <v>0.34416383240466</v>
      </c>
      <c r="D12" s="26" t="n">
        <v>0.391926795070475</v>
      </c>
      <c r="E12" s="26" t="n">
        <v>0.39602063111143</v>
      </c>
      <c r="F12" s="26" t="n">
        <v>0.26146795479299</v>
      </c>
      <c r="G12" s="26" t="n">
        <v>0.339029383709839</v>
      </c>
      <c r="H12" s="26" t="n">
        <v>0.333844940599853</v>
      </c>
      <c r="I12" s="26" t="n">
        <v>0.198946908043119</v>
      </c>
      <c r="J12" s="26" t="n">
        <v>0.289819942031564</v>
      </c>
      <c r="K12" s="26" t="n">
        <v>0.379088145896657</v>
      </c>
      <c r="L12" s="26" t="n">
        <v>0.387205353823274</v>
      </c>
    </row>
    <row r="13" customFormat="false" ht="15" hidden="false" customHeight="false" outlineLevel="0" collapsed="false">
      <c r="A13" s="10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</row>
    <row r="14" customFormat="false" ht="15" hidden="false" customHeight="false" outlineLevel="0" collapsed="false">
      <c r="A14" s="14" t="s">
        <v>50</v>
      </c>
      <c r="B14" s="12" t="n">
        <v>10278</v>
      </c>
      <c r="C14" s="12" t="n">
        <v>16947</v>
      </c>
      <c r="D14" s="12" t="n">
        <v>24630</v>
      </c>
      <c r="E14" s="12" t="n">
        <v>33128</v>
      </c>
      <c r="F14" s="12" t="n">
        <v>38549</v>
      </c>
      <c r="G14" s="12" t="n">
        <v>45949</v>
      </c>
      <c r="H14" s="12" t="n">
        <v>62205</v>
      </c>
      <c r="I14" s="12" t="n">
        <v>50157</v>
      </c>
      <c r="J14" s="12" t="n">
        <v>71113</v>
      </c>
      <c r="K14" s="12" t="n">
        <v>91328</v>
      </c>
      <c r="L14" s="12" t="n">
        <v>115767</v>
      </c>
    </row>
    <row r="15" customFormat="false" ht="15" hidden="false" customHeight="false" outlineLevel="0" collapsed="false">
      <c r="A15" s="14" t="s">
        <v>59</v>
      </c>
      <c r="B15" s="12" t="n">
        <v>2427</v>
      </c>
      <c r="C15" s="12" t="n">
        <v>4125</v>
      </c>
      <c r="D15" s="12" t="n">
        <v>6239</v>
      </c>
      <c r="E15" s="12" t="n">
        <v>14060</v>
      </c>
      <c r="F15" s="12" t="n">
        <v>16397</v>
      </c>
      <c r="G15" s="12" t="n">
        <v>14723</v>
      </c>
      <c r="H15" s="12" t="n">
        <v>19199</v>
      </c>
      <c r="I15" s="12" t="n">
        <v>31057</v>
      </c>
      <c r="J15" s="12" t="n">
        <v>27045</v>
      </c>
      <c r="K15" s="12" t="n">
        <v>37256</v>
      </c>
      <c r="L15" s="12" t="n">
        <v>69691</v>
      </c>
    </row>
    <row r="16" customFormat="false" ht="15" hidden="false" customHeight="false" outlineLevel="0" collapsed="false">
      <c r="A16" s="14" t="s">
        <v>53</v>
      </c>
      <c r="B16" s="20" t="n">
        <v>7851</v>
      </c>
      <c r="C16" s="20" t="n">
        <v>12822</v>
      </c>
      <c r="D16" s="20" t="n">
        <v>18391</v>
      </c>
      <c r="E16" s="20" t="n">
        <v>19068</v>
      </c>
      <c r="F16" s="20" t="n">
        <v>22152</v>
      </c>
      <c r="G16" s="20" t="n">
        <v>31226</v>
      </c>
      <c r="H16" s="20" t="n">
        <v>43006</v>
      </c>
      <c r="I16" s="20" t="n">
        <v>19100</v>
      </c>
      <c r="J16" s="20" t="n">
        <v>44068</v>
      </c>
      <c r="K16" s="20" t="n">
        <v>54072</v>
      </c>
      <c r="L16" s="20" t="n">
        <v>46076</v>
      </c>
    </row>
    <row r="17" customFormat="false" ht="15" hidden="false" customHeight="false" outlineLevel="0" collapsed="false">
      <c r="A17" s="21" t="s">
        <v>54</v>
      </c>
      <c r="B17" s="26" t="n">
        <v>0.437942767892007</v>
      </c>
      <c r="C17" s="26" t="n">
        <v>0.463926478037485</v>
      </c>
      <c r="D17" s="26" t="n">
        <v>0.452389737534745</v>
      </c>
      <c r="E17" s="26" t="n">
        <v>0.341487875640245</v>
      </c>
      <c r="F17" s="26" t="n">
        <v>0.313337199598286</v>
      </c>
      <c r="G17" s="26" t="n">
        <v>0.363236628434497</v>
      </c>
      <c r="H17" s="26" t="n">
        <v>0.364677051446209</v>
      </c>
      <c r="I17" s="26" t="n">
        <v>0.163795247365126</v>
      </c>
      <c r="J17" s="26" t="n">
        <v>0.326669187033454</v>
      </c>
      <c r="K17" s="26" t="n">
        <v>0.328705167173252</v>
      </c>
      <c r="L17" s="26" t="n">
        <v>0.228409964059983</v>
      </c>
    </row>
    <row r="18" customFormat="false" ht="15" hidden="false" customHeight="false" outlineLevel="0" collapsed="false">
      <c r="A18" s="10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</row>
    <row r="19" customFormat="false" ht="15" hidden="false" customHeight="false" outlineLevel="0" collapsed="false">
      <c r="A19" s="14" t="s">
        <v>60</v>
      </c>
      <c r="B19" s="12" t="n">
        <v>1762</v>
      </c>
      <c r="C19" s="12" t="n">
        <v>2575</v>
      </c>
      <c r="D19" s="12" t="n">
        <v>3675</v>
      </c>
      <c r="E19" s="12" t="n">
        <v>4939</v>
      </c>
      <c r="F19" s="12" t="n">
        <v>6334</v>
      </c>
      <c r="G19" s="12" t="n">
        <v>7386</v>
      </c>
      <c r="H19" s="12" t="n">
        <v>8358</v>
      </c>
      <c r="I19" s="12" t="n">
        <v>11396</v>
      </c>
      <c r="J19" s="12" t="n">
        <v>12751</v>
      </c>
      <c r="K19" s="12" t="n">
        <v>15707</v>
      </c>
      <c r="L19" s="12" t="n">
        <v>21450</v>
      </c>
    </row>
    <row r="20" customFormat="false" ht="15" hidden="false" customHeight="false" outlineLevel="0" collapsed="false">
      <c r="A20" s="14" t="s">
        <v>61</v>
      </c>
      <c r="B20" s="12" t="n">
        <v>3139</v>
      </c>
      <c r="C20" s="12" t="n">
        <v>4190</v>
      </c>
      <c r="D20" s="12" t="n">
        <v>5157</v>
      </c>
      <c r="E20" s="12" t="n">
        <v>7295</v>
      </c>
      <c r="F20" s="12" t="n">
        <v>9805</v>
      </c>
      <c r="G20" s="12" t="n">
        <v>12249</v>
      </c>
      <c r="H20" s="12" t="n">
        <v>15335</v>
      </c>
      <c r="I20" s="12" t="n">
        <v>16071</v>
      </c>
      <c r="J20" s="12" t="n">
        <v>15554</v>
      </c>
      <c r="K20" s="12" t="n">
        <v>19113</v>
      </c>
      <c r="L20" s="12" t="n">
        <v>22900</v>
      </c>
    </row>
    <row r="21" customFormat="false" ht="15" hidden="false" customHeight="false" outlineLevel="0" collapsed="false">
      <c r="A21" s="14" t="s">
        <v>62</v>
      </c>
      <c r="B21" s="12" t="n">
        <v>4826</v>
      </c>
      <c r="C21" s="12" t="n">
        <v>6541</v>
      </c>
      <c r="D21" s="12" t="n">
        <v>8151</v>
      </c>
      <c r="E21" s="12" t="n">
        <v>11563</v>
      </c>
      <c r="F21" s="12" t="n">
        <v>14570</v>
      </c>
      <c r="G21" s="12" t="n">
        <v>18595</v>
      </c>
      <c r="H21" s="12" t="n">
        <v>24512</v>
      </c>
      <c r="I21" s="12" t="n">
        <v>33470</v>
      </c>
      <c r="J21" s="12" t="n">
        <v>36973</v>
      </c>
      <c r="K21" s="12" t="n">
        <v>44369</v>
      </c>
      <c r="L21" s="12" t="n">
        <v>54300</v>
      </c>
    </row>
    <row r="22" customFormat="false" ht="15" hidden="false" customHeight="false" outlineLevel="0" collapsed="false">
      <c r="A22" s="21" t="s">
        <v>63</v>
      </c>
      <c r="B22" s="26" t="n">
        <v>0.269202878339934</v>
      </c>
      <c r="C22" s="26" t="n">
        <v>0.236666907880454</v>
      </c>
      <c r="D22" s="26" t="n">
        <v>0.200501807984651</v>
      </c>
      <c r="E22" s="26" t="n">
        <v>0.207081199183352</v>
      </c>
      <c r="F22" s="26" t="n">
        <v>0.206090781787063</v>
      </c>
      <c r="G22" s="26" t="n">
        <v>0.216306446734756</v>
      </c>
      <c r="H22" s="26" t="n">
        <v>0.207853878180939</v>
      </c>
      <c r="I22" s="26" t="n">
        <v>0.28702758792203</v>
      </c>
      <c r="J22" s="26" t="n">
        <v>0.274075062453207</v>
      </c>
      <c r="K22" s="26" t="n">
        <v>0.269720364741641</v>
      </c>
      <c r="L22" s="26" t="n">
        <v>0.269178336844714</v>
      </c>
    </row>
    <row r="25" customFormat="false" ht="15" hidden="false" customHeight="false" outlineLevel="0" collapsed="false">
      <c r="A25" s="28" t="s">
        <v>64</v>
      </c>
      <c r="B25" s="28"/>
      <c r="C25" s="28"/>
      <c r="D25" s="28"/>
      <c r="E25" s="28"/>
      <c r="F25" s="28"/>
    </row>
    <row r="26" customFormat="false" ht="15" hidden="false" customHeight="false" outlineLevel="0" collapsed="false">
      <c r="A26" s="11" t="s">
        <v>65</v>
      </c>
    </row>
  </sheetData>
  <mergeCells count="3">
    <mergeCell ref="A1:F1"/>
    <mergeCell ref="A2:F2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2026-03-23T03:30:29Z</dcterms:created>
  <dc:creator>openpyxl</dc:creator>
  <dc:description/>
  <dc:language>en-US</dc:language>
  <cp:lastModifiedBy/>
  <dcterms:modified xsi:type="dcterms:W3CDTF">2026-03-23T03:30:29Z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